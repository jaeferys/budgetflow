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Copy of Copy of Copy of Copy of" sheetId="8" r:id="rId12"/>
  </sheets>
  <definedNames/>
  <calcPr/>
</workbook>
</file>

<file path=xl/sharedStrings.xml><?xml version="1.0" encoding="utf-8"?>
<sst xmlns="http://schemas.openxmlformats.org/spreadsheetml/2006/main" count="1948" uniqueCount="30">
  <si>
    <t>JEFF RONYL'S SPENDING FOR JANUARY!</t>
  </si>
  <si>
    <t>Money Received</t>
  </si>
  <si>
    <t>WEEK 1</t>
  </si>
  <si>
    <t>Type</t>
  </si>
  <si>
    <t>TOTAL</t>
  </si>
  <si>
    <t>CATEGORIES</t>
  </si>
  <si>
    <t>TOTAL EARNED</t>
  </si>
  <si>
    <t>Food &amp; Drinks</t>
  </si>
  <si>
    <t>Food and Drinks</t>
  </si>
  <si>
    <t>Allowance</t>
  </si>
  <si>
    <t>Transportation</t>
  </si>
  <si>
    <t>Savings</t>
  </si>
  <si>
    <t>School</t>
  </si>
  <si>
    <t>Trips</t>
  </si>
  <si>
    <t>Shopping</t>
  </si>
  <si>
    <t>BALANCE</t>
  </si>
  <si>
    <t>Others</t>
  </si>
  <si>
    <t>WEEK 2</t>
  </si>
  <si>
    <t>WEEK 3</t>
  </si>
  <si>
    <t>WEEK 4</t>
  </si>
  <si>
    <t>TOTAL COST</t>
  </si>
  <si>
    <t>JEFF RONYL'S SPENDING FOR FEBRUARY!</t>
  </si>
  <si>
    <t>OTHERS can be</t>
  </si>
  <si>
    <t>- gifts</t>
  </si>
  <si>
    <t>- side quests</t>
  </si>
  <si>
    <t>- sports</t>
  </si>
  <si>
    <t>JEFF RONYL'S SPENDING FOR MARCH!</t>
  </si>
  <si>
    <t>JEFF RONYL'S SPENDING FOR APRIL!</t>
  </si>
  <si>
    <t>JEFF RONYL'S SPENDING FOR MAY!</t>
  </si>
  <si>
    <t>JEFF RONYL'S SPENDING FOR JUNE!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</si>
</sst>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rgb="FF38761D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readingOrder="0"/>
    </xf>
    <xf borderId="0" fillId="11" fontId="1" numFmtId="0" xfId="0" applyFont="1"/>
    <xf borderId="0" fillId="1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12" fontId="1" numFmtId="0" xfId="0" applyFill="1" applyFont="1"/>
    <xf borderId="0" fillId="2" fontId="1" numFmtId="0" xfId="0" applyAlignment="1" applyFont="1">
      <alignment readingOrder="0"/>
    </xf>
    <xf borderId="0" fillId="12" fontId="1" numFmtId="0" xfId="0" applyAlignment="1" applyFont="1">
      <alignment readingOrder="0"/>
    </xf>
    <xf borderId="0" fillId="8" fontId="1" numFmtId="0" xfId="0" applyFont="1"/>
    <xf borderId="0" fillId="6" fontId="1" numFmtId="0" xfId="0" applyAlignment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11" fontId="1" numFmtId="0" xfId="0" applyAlignment="1" applyFont="1">
      <alignment horizontal="left" readingOrder="0"/>
    </xf>
    <xf borderId="0" fillId="10" fontId="1" numFmtId="0" xfId="0" applyFont="1"/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January!$V$5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January!$U$6:$U$12</c:f>
            </c:strRef>
          </c:cat>
          <c:val>
            <c:numRef>
              <c:f>January!$V$6:$V$12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February!$V$5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February!$U$6:$U$12</c:f>
            </c:strRef>
          </c:cat>
          <c:val>
            <c:numRef>
              <c:f>February!$V$6:$V$12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March!$V$5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March!$U$6:$U$12</c:f>
            </c:strRef>
          </c:cat>
          <c:val>
            <c:numRef>
              <c:f>March!$V$6:$V$12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April!$V$5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April!$U$6:$U$12</c:f>
            </c:strRef>
          </c:cat>
          <c:val>
            <c:numRef>
              <c:f>April!$V$6:$V$12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May!$V$5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May!$U$6:$U$12</c:f>
            </c:strRef>
          </c:cat>
          <c:val>
            <c:numRef>
              <c:f>May!$V$6:$V$12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June!$V$5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June!$U$6:$U$12</c:f>
            </c:strRef>
          </c:cat>
          <c:val>
            <c:numRef>
              <c:f>June!$V$6:$V$12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July!$V$5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July!$U$6:$U$12</c:f>
            </c:strRef>
          </c:cat>
          <c:val>
            <c:numRef>
              <c:f>July!$V$6:$V$12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3C47D"/>
                </a:solidFill>
                <a:latin typeface="sans-serif"/>
              </a:defRPr>
            </a:pPr>
            <a:r>
              <a:rPr b="1">
                <a:solidFill>
                  <a:srgbClr val="93C47D"/>
                </a:solidFill>
                <a:latin typeface="sans-serif"/>
              </a:rPr>
              <a:t>Costings for the Month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'Copy of Copy of Copy of Copy of'!$V$5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Copy of Copy of Copy of'!$U$6:$U$12</c:f>
            </c:strRef>
          </c:cat>
          <c:val>
            <c:numRef>
              <c:f>'Copy of Copy of Copy of Copy of'!$V$6:$V$12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819150</xdr:colOff>
      <xdr:row>12</xdr:row>
      <xdr:rowOff>95250</xdr:rowOff>
    </xdr:from>
    <xdr:ext cx="4943475" cy="30575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0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2000.0</v>
      </c>
      <c r="E6" s="15" t="s">
        <v>7</v>
      </c>
      <c r="G6" s="15" t="s">
        <v>7</v>
      </c>
      <c r="H6" s="15">
        <v>415.0</v>
      </c>
      <c r="I6" s="15" t="s">
        <v>7</v>
      </c>
      <c r="K6" s="15" t="s">
        <v>7</v>
      </c>
      <c r="L6" s="15">
        <v>10.0</v>
      </c>
      <c r="M6" s="15" t="s">
        <v>7</v>
      </c>
      <c r="O6" s="15" t="s">
        <v>7</v>
      </c>
      <c r="Q6" s="15" t="s">
        <v>7</v>
      </c>
      <c r="S6" s="16">
        <f>SUM(D6:D11,F6:F11,H6:H11,J6:J11,L6:L11,N6:N11,P6:P11)</f>
        <v>1480</v>
      </c>
      <c r="U6" s="17" t="s">
        <v>8</v>
      </c>
      <c r="V6" s="16">
        <f>SUM(D6,F6,H6,J6,L6,N6,P6,P14,N14,L14,J14,H14,F14,D14,D22,D30,F30,F22,H22,J22,L22,N22,P22,P30,N30,L30,J30,H30,H38,F38,D38)</f>
        <v>2420</v>
      </c>
      <c r="X6" s="17" t="s">
        <v>9</v>
      </c>
      <c r="Y6" s="16">
        <f>SUM(A6,A14,A22,A30,A38)</f>
        <v>3500</v>
      </c>
    </row>
    <row r="7">
      <c r="E7" s="15" t="s">
        <v>10</v>
      </c>
      <c r="G7" s="15" t="s">
        <v>10</v>
      </c>
      <c r="H7" s="15">
        <v>70.0</v>
      </c>
      <c r="I7" s="15" t="s">
        <v>10</v>
      </c>
      <c r="K7" s="15" t="s">
        <v>10</v>
      </c>
      <c r="M7" s="15" t="s">
        <v>10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714</v>
      </c>
      <c r="X7" s="17" t="s">
        <v>11</v>
      </c>
      <c r="Y7" s="18">
        <f>A44</f>
        <v>4800</v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140</v>
      </c>
      <c r="Y8" s="19">
        <f>SUM(Y6,Y7)</f>
        <v>8300</v>
      </c>
    </row>
    <row r="9">
      <c r="E9" s="15" t="s">
        <v>13</v>
      </c>
      <c r="G9" s="15" t="s">
        <v>13</v>
      </c>
      <c r="H9" s="15">
        <v>220.0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1270</v>
      </c>
    </row>
    <row r="10">
      <c r="E10" s="15" t="s">
        <v>14</v>
      </c>
      <c r="G10" s="15" t="s">
        <v>14</v>
      </c>
      <c r="H10" s="15">
        <v>765.0</v>
      </c>
      <c r="I10" s="15" t="s">
        <v>14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960</v>
      </c>
      <c r="X10" s="20" t="s">
        <v>15</v>
      </c>
      <c r="Y10" s="21">
        <f>(Y8-V32)</f>
        <v>2202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594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>
        <v>500.0</v>
      </c>
      <c r="E14" s="15" t="s">
        <v>7</v>
      </c>
      <c r="F14" s="15">
        <v>235.0</v>
      </c>
      <c r="G14" s="15" t="s">
        <v>7</v>
      </c>
      <c r="I14" s="15" t="s">
        <v>7</v>
      </c>
      <c r="K14" s="15" t="s">
        <v>7</v>
      </c>
      <c r="M14" s="15" t="s">
        <v>7</v>
      </c>
      <c r="O14" s="15" t="s">
        <v>7</v>
      </c>
      <c r="Q14" s="15" t="s">
        <v>7</v>
      </c>
      <c r="S14" s="16">
        <f>SUM(D14:D19,F14:F19,H14:H19,H19,J14:J19,L14:L19,N14:N19,P14:P19)</f>
        <v>990</v>
      </c>
    </row>
    <row r="15">
      <c r="E15" s="15" t="s">
        <v>10</v>
      </c>
      <c r="G15" s="15" t="s">
        <v>10</v>
      </c>
      <c r="I15" s="15" t="s">
        <v>10</v>
      </c>
      <c r="K15" s="15" t="s">
        <v>10</v>
      </c>
      <c r="M15" s="15" t="s">
        <v>10</v>
      </c>
      <c r="O15" s="15" t="s">
        <v>10</v>
      </c>
      <c r="P15" s="15">
        <v>36.0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K16" s="15" t="s">
        <v>12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F17" s="15">
        <v>700.0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P19" s="15">
        <v>19.0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>
        <v>500.0</v>
      </c>
      <c r="D22" s="15">
        <v>206.0</v>
      </c>
      <c r="E22" s="15" t="s">
        <v>7</v>
      </c>
      <c r="F22" s="15">
        <v>335.0</v>
      </c>
      <c r="G22" s="15" t="s">
        <v>7</v>
      </c>
      <c r="H22" s="15">
        <v>225.0</v>
      </c>
      <c r="I22" s="15" t="s">
        <v>7</v>
      </c>
      <c r="K22" s="15" t="s">
        <v>7</v>
      </c>
      <c r="L22" s="15">
        <v>20.0</v>
      </c>
      <c r="M22" s="15" t="s">
        <v>7</v>
      </c>
      <c r="N22" s="15">
        <v>83.0</v>
      </c>
      <c r="O22" s="15" t="s">
        <v>7</v>
      </c>
      <c r="P22" s="15">
        <v>235.0</v>
      </c>
      <c r="Q22" s="15" t="s">
        <v>7</v>
      </c>
      <c r="S22" s="1">
        <f>SUM(D22:D27,F22:F27,H22:H27,J22:J27,L22:L27,N22:N27,P22:P27)</f>
        <v>2182</v>
      </c>
    </row>
    <row r="23">
      <c r="D23" s="15">
        <v>33.0</v>
      </c>
      <c r="E23" s="15" t="s">
        <v>10</v>
      </c>
      <c r="F23" s="15">
        <v>73.0</v>
      </c>
      <c r="G23" s="15" t="s">
        <v>10</v>
      </c>
      <c r="H23" s="15">
        <v>40.0</v>
      </c>
      <c r="I23" s="15" t="s">
        <v>10</v>
      </c>
      <c r="K23" s="15" t="s">
        <v>10</v>
      </c>
      <c r="L23" s="15">
        <v>40.0</v>
      </c>
      <c r="M23" s="15" t="s">
        <v>10</v>
      </c>
      <c r="N23" s="15">
        <v>72.0</v>
      </c>
      <c r="O23" s="15" t="s">
        <v>10</v>
      </c>
      <c r="P23" s="15">
        <v>40.0</v>
      </c>
      <c r="Q23" s="15" t="s">
        <v>10</v>
      </c>
    </row>
    <row r="24">
      <c r="E24" s="15" t="s">
        <v>12</v>
      </c>
      <c r="F24" s="15">
        <v>85.0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P25" s="15">
        <v>350.0</v>
      </c>
      <c r="Q25" s="15" t="s">
        <v>13</v>
      </c>
    </row>
    <row r="26">
      <c r="E26" s="15" t="s">
        <v>14</v>
      </c>
      <c r="G26" s="15" t="s">
        <v>14</v>
      </c>
      <c r="H26" s="15">
        <v>45.0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D27" s="15">
        <v>300.0</v>
      </c>
      <c r="E27" s="15" t="s">
        <v>16</v>
      </c>
      <c r="G27" s="15" t="s">
        <v>16</v>
      </c>
      <c r="I27" s="15" t="s">
        <v>16</v>
      </c>
      <c r="K27" s="15" t="s">
        <v>16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500.0</v>
      </c>
      <c r="D30" s="15">
        <v>75.0</v>
      </c>
      <c r="E30" s="15" t="s">
        <v>7</v>
      </c>
      <c r="G30" s="15" t="s">
        <v>7</v>
      </c>
      <c r="H30" s="15">
        <v>96.0</v>
      </c>
      <c r="I30" s="15" t="s">
        <v>7</v>
      </c>
      <c r="J30" s="15">
        <v>270.0</v>
      </c>
      <c r="K30" s="15" t="s">
        <v>7</v>
      </c>
      <c r="L30" s="15">
        <v>30.0</v>
      </c>
      <c r="M30" s="15" t="s">
        <v>7</v>
      </c>
      <c r="N30" s="15">
        <v>25.0</v>
      </c>
      <c r="O30" s="15" t="s">
        <v>7</v>
      </c>
      <c r="P30" s="15">
        <v>80.0</v>
      </c>
      <c r="Q30" s="15" t="s">
        <v>7</v>
      </c>
      <c r="S30" s="16">
        <f>SUM(D30:D35,F30:F35,H30:H35,J30:J35,L30:L35,N30:N36,N35,P30:P35)</f>
        <v>1265</v>
      </c>
    </row>
    <row r="31">
      <c r="D31" s="15">
        <v>20.0</v>
      </c>
      <c r="E31" s="15" t="s">
        <v>10</v>
      </c>
      <c r="F31" s="15">
        <v>55.0</v>
      </c>
      <c r="G31" s="15" t="s">
        <v>10</v>
      </c>
      <c r="H31" s="15">
        <v>39.0</v>
      </c>
      <c r="I31" s="15" t="s">
        <v>10</v>
      </c>
      <c r="K31" s="15" t="s">
        <v>10</v>
      </c>
      <c r="M31" s="15" t="s">
        <v>10</v>
      </c>
      <c r="N31" s="15">
        <v>30.0</v>
      </c>
      <c r="O31" s="15" t="s">
        <v>10</v>
      </c>
      <c r="P31" s="15">
        <v>65.0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L32" s="15">
        <v>55.0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6098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F34" s="15">
        <v>50.0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P34" s="15">
        <v>100.0</v>
      </c>
      <c r="Q34" s="15" t="s">
        <v>14</v>
      </c>
    </row>
    <row r="35">
      <c r="E35" s="15" t="s">
        <v>16</v>
      </c>
      <c r="F35" s="15">
        <v>230.0</v>
      </c>
      <c r="G35" s="15" t="s">
        <v>16</v>
      </c>
      <c r="I35" s="15" t="s">
        <v>16</v>
      </c>
      <c r="K35" s="15" t="s">
        <v>16</v>
      </c>
      <c r="L35" s="15">
        <v>45.0</v>
      </c>
      <c r="M35" s="15" t="s">
        <v>16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25"/>
      <c r="D38" s="15">
        <v>50.0</v>
      </c>
      <c r="E38" s="15" t="s">
        <v>7</v>
      </c>
      <c r="F38" s="15">
        <v>30.0</v>
      </c>
      <c r="G38" s="15" t="s">
        <v>7</v>
      </c>
      <c r="I38" s="15" t="s">
        <v>7</v>
      </c>
      <c r="K38" s="16">
        <f>SUM(D38:D43,F38:F43,H38:H43)</f>
        <v>181</v>
      </c>
    </row>
    <row r="39">
      <c r="D39" s="15">
        <v>40.0</v>
      </c>
      <c r="E39" s="15" t="s">
        <v>10</v>
      </c>
      <c r="F39" s="15">
        <v>20.0</v>
      </c>
      <c r="G39" s="15" t="s">
        <v>10</v>
      </c>
      <c r="H39" s="15">
        <v>41.0</v>
      </c>
      <c r="I39" s="15" t="s">
        <v>10</v>
      </c>
    </row>
    <row r="40">
      <c r="E40" s="15" t="s">
        <v>12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>
        <v>4800.0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21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1100.0</v>
      </c>
      <c r="E6" s="15" t="s">
        <v>7</v>
      </c>
      <c r="F6" s="15">
        <v>15.0</v>
      </c>
      <c r="G6" s="15" t="s">
        <v>7</v>
      </c>
      <c r="H6" s="15">
        <v>79.0</v>
      </c>
      <c r="I6" s="15" t="s">
        <v>7</v>
      </c>
      <c r="J6" s="15">
        <v>15.0</v>
      </c>
      <c r="K6" s="15" t="s">
        <v>7</v>
      </c>
      <c r="M6" s="15" t="s">
        <v>7</v>
      </c>
      <c r="N6" s="15">
        <v>300.0</v>
      </c>
      <c r="O6" s="15" t="s">
        <v>7</v>
      </c>
      <c r="P6" s="15">
        <v>30.0</v>
      </c>
      <c r="Q6" s="15" t="s">
        <v>7</v>
      </c>
      <c r="S6" s="16">
        <f>SUM(D6:D11,F6:F11,H6:H11,J6:J11,L6:L11,N6:N11,P6:P11)</f>
        <v>2603</v>
      </c>
      <c r="U6" s="17" t="s">
        <v>8</v>
      </c>
      <c r="V6" s="16">
        <f>SUM(D6,F6,H6,J6,L6,N6,P6,P14,N14,L14,J14,H14,F14,D14,D22,D30,F30,F22,H22,J22,L22,N22,P22,P30,N30,L30,J30,H30,H38,F38,D38)</f>
        <v>1493</v>
      </c>
      <c r="X6" s="17" t="s">
        <v>9</v>
      </c>
      <c r="Y6" s="16">
        <f>SUM(A6,A14,A22,A30,A38)</f>
        <v>2630</v>
      </c>
    </row>
    <row r="7">
      <c r="E7" s="15" t="s">
        <v>10</v>
      </c>
      <c r="F7" s="15">
        <v>41.0</v>
      </c>
      <c r="G7" s="15" t="s">
        <v>10</v>
      </c>
      <c r="H7" s="15">
        <v>280.0</v>
      </c>
      <c r="I7" s="15" t="s">
        <v>10</v>
      </c>
      <c r="J7" s="15">
        <v>41.0</v>
      </c>
      <c r="K7" s="15" t="s">
        <v>10</v>
      </c>
      <c r="M7" s="15" t="s">
        <v>10</v>
      </c>
      <c r="N7" s="15">
        <v>20.0</v>
      </c>
      <c r="O7" s="15" t="s">
        <v>10</v>
      </c>
      <c r="P7" s="15">
        <v>20.0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1122</v>
      </c>
      <c r="X7" s="17" t="s">
        <v>11</v>
      </c>
      <c r="Y7" s="18">
        <f>A44</f>
        <v>2500</v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463</v>
      </c>
      <c r="Y8" s="19">
        <f>SUM(Y6,Y7)</f>
        <v>5130</v>
      </c>
    </row>
    <row r="9">
      <c r="D9" s="15">
        <v>100.0</v>
      </c>
      <c r="E9" s="15" t="s">
        <v>13</v>
      </c>
      <c r="G9" s="15" t="s">
        <v>13</v>
      </c>
      <c r="I9" s="15" t="s">
        <v>13</v>
      </c>
      <c r="J9" s="15"/>
      <c r="K9" s="15" t="s">
        <v>13</v>
      </c>
      <c r="M9" s="15" t="s">
        <v>13</v>
      </c>
      <c r="N9" s="15">
        <v>500.0</v>
      </c>
      <c r="O9" s="15" t="s">
        <v>13</v>
      </c>
      <c r="P9" s="15">
        <v>650.0</v>
      </c>
      <c r="Q9" s="15" t="s">
        <v>13</v>
      </c>
      <c r="U9" s="17" t="s">
        <v>13</v>
      </c>
      <c r="V9" s="16">
        <f t="shared" si="1"/>
        <v>1920</v>
      </c>
    </row>
    <row r="10">
      <c r="E10" s="15" t="s">
        <v>14</v>
      </c>
      <c r="G10" s="15" t="s">
        <v>14</v>
      </c>
      <c r="H10" s="15">
        <v>312.0</v>
      </c>
      <c r="I10" s="15" t="s">
        <v>14</v>
      </c>
      <c r="J10" s="15">
        <v>50.0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1131</v>
      </c>
      <c r="X10" s="20" t="s">
        <v>15</v>
      </c>
      <c r="Y10" s="21">
        <f>(Y8-V32)</f>
        <v>-1694</v>
      </c>
    </row>
    <row r="11">
      <c r="E11" s="15" t="s">
        <v>16</v>
      </c>
      <c r="G11" s="15" t="s">
        <v>16</v>
      </c>
      <c r="I11" s="15" t="s">
        <v>16</v>
      </c>
      <c r="J11" s="15">
        <v>150.0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695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>
        <v>530.0</v>
      </c>
      <c r="E14" s="15" t="s">
        <v>7</v>
      </c>
      <c r="F14" s="15">
        <v>70.0</v>
      </c>
      <c r="G14" s="15" t="s">
        <v>7</v>
      </c>
      <c r="H14" s="15">
        <v>145.0</v>
      </c>
      <c r="I14" s="15" t="s">
        <v>7</v>
      </c>
      <c r="J14" s="15">
        <v>15.0</v>
      </c>
      <c r="K14" s="15" t="s">
        <v>7</v>
      </c>
      <c r="L14" s="15">
        <v>40.0</v>
      </c>
      <c r="M14" s="15" t="s">
        <v>7</v>
      </c>
      <c r="N14" s="15">
        <v>15.0</v>
      </c>
      <c r="O14" s="15" t="s">
        <v>7</v>
      </c>
      <c r="Q14" s="15" t="s">
        <v>7</v>
      </c>
      <c r="S14" s="16">
        <f>SUM(D14:D19,F14:F19,H14:H19,H19,J14:J19,L14:L19,N14:N19,P14:P19)</f>
        <v>1148</v>
      </c>
    </row>
    <row r="15">
      <c r="E15" s="15" t="s">
        <v>10</v>
      </c>
      <c r="F15" s="15">
        <v>20.0</v>
      </c>
      <c r="G15" s="15" t="s">
        <v>10</v>
      </c>
      <c r="H15" s="15">
        <v>20.0</v>
      </c>
      <c r="I15" s="15" t="s">
        <v>10</v>
      </c>
      <c r="J15" s="15">
        <v>50.0</v>
      </c>
      <c r="K15" s="15" t="s">
        <v>10</v>
      </c>
      <c r="L15" s="15">
        <v>20.0</v>
      </c>
      <c r="M15" s="15" t="s">
        <v>10</v>
      </c>
      <c r="N15" s="15">
        <v>50.0</v>
      </c>
      <c r="O15" s="15" t="s">
        <v>10</v>
      </c>
      <c r="P15" s="15">
        <v>40.0</v>
      </c>
      <c r="Q15" s="15" t="s">
        <v>10</v>
      </c>
    </row>
    <row r="16">
      <c r="D16" s="15">
        <v>433.0</v>
      </c>
      <c r="E16" s="15" t="s">
        <v>12</v>
      </c>
      <c r="G16" s="15" t="s">
        <v>12</v>
      </c>
      <c r="I16" s="15" t="s">
        <v>12</v>
      </c>
      <c r="K16" s="15" t="s">
        <v>12</v>
      </c>
      <c r="L16" s="15">
        <v>30.0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N17" s="15">
        <v>200.0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>
        <v>500.0</v>
      </c>
      <c r="E22" s="15" t="s">
        <v>7</v>
      </c>
      <c r="F22" s="15">
        <v>300.0</v>
      </c>
      <c r="G22" s="15" t="s">
        <v>7</v>
      </c>
      <c r="I22" s="15" t="s">
        <v>7</v>
      </c>
      <c r="J22" s="15">
        <v>15.0</v>
      </c>
      <c r="K22" s="15" t="s">
        <v>7</v>
      </c>
      <c r="M22" s="15" t="s">
        <v>7</v>
      </c>
      <c r="O22" s="15" t="s">
        <v>7</v>
      </c>
      <c r="P22" s="15">
        <v>50.0</v>
      </c>
      <c r="Q22" s="15" t="s">
        <v>7</v>
      </c>
      <c r="S22" s="1">
        <f>SUM(D22:D27,F22:F27,H22:H27,J22:J27,L22:L27,N22:N27,P22:P27)</f>
        <v>1459</v>
      </c>
    </row>
    <row r="23">
      <c r="D23" s="15">
        <v>50.0</v>
      </c>
      <c r="E23" s="15" t="s">
        <v>10</v>
      </c>
      <c r="F23" s="15">
        <v>30.0</v>
      </c>
      <c r="G23" s="15" t="s">
        <v>10</v>
      </c>
      <c r="H23" s="15">
        <v>180.0</v>
      </c>
      <c r="I23" s="15" t="s">
        <v>10</v>
      </c>
      <c r="J23" s="15">
        <v>50.0</v>
      </c>
      <c r="K23" s="15" t="s">
        <v>10</v>
      </c>
      <c r="L23" s="15">
        <v>20.0</v>
      </c>
      <c r="M23" s="15" t="s">
        <v>10</v>
      </c>
      <c r="O23" s="15" t="s">
        <v>10</v>
      </c>
      <c r="P23" s="15">
        <v>50.0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H25" s="15">
        <v>120.0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D26" s="15">
        <v>150.0</v>
      </c>
      <c r="E26" s="15" t="s">
        <v>14</v>
      </c>
      <c r="G26" s="15" t="s">
        <v>14</v>
      </c>
      <c r="I26" s="15" t="s">
        <v>14</v>
      </c>
      <c r="J26" s="15">
        <v>90.0</v>
      </c>
      <c r="K26" s="15" t="s">
        <v>14</v>
      </c>
      <c r="M26" s="15" t="s">
        <v>14</v>
      </c>
      <c r="N26" s="15">
        <v>169.0</v>
      </c>
      <c r="O26" s="15" t="s">
        <v>14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L27" s="15">
        <v>185.0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500.0</v>
      </c>
      <c r="D30" s="15">
        <v>149.0</v>
      </c>
      <c r="E30" s="15" t="s">
        <v>7</v>
      </c>
      <c r="G30" s="15" t="s">
        <v>7</v>
      </c>
      <c r="H30" s="15">
        <v>70.0</v>
      </c>
      <c r="I30" s="15" t="s">
        <v>7</v>
      </c>
      <c r="J30" s="15">
        <v>15.0</v>
      </c>
      <c r="K30" s="15" t="s">
        <v>7</v>
      </c>
      <c r="L30" s="15">
        <v>20.0</v>
      </c>
      <c r="M30" s="15" t="s">
        <v>7</v>
      </c>
      <c r="N30" s="15">
        <v>150.0</v>
      </c>
      <c r="O30" s="15" t="s">
        <v>7</v>
      </c>
      <c r="Q30" s="15" t="s">
        <v>7</v>
      </c>
      <c r="S30" s="16">
        <f>SUM(D30:D35,F30:F35,H30:H35,J30:J35,L30:L35,N30:N36,N35,P30:P35)</f>
        <v>1614</v>
      </c>
    </row>
    <row r="31">
      <c r="E31" s="15" t="s">
        <v>10</v>
      </c>
      <c r="G31" s="15" t="s">
        <v>10</v>
      </c>
      <c r="H31" s="15">
        <v>20.0</v>
      </c>
      <c r="I31" s="15" t="s">
        <v>10</v>
      </c>
      <c r="J31" s="15">
        <v>30.0</v>
      </c>
      <c r="K31" s="15" t="s">
        <v>10</v>
      </c>
      <c r="L31" s="15">
        <v>40.0</v>
      </c>
      <c r="M31" s="15" t="s">
        <v>10</v>
      </c>
      <c r="N31" s="15">
        <v>50.0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6824</v>
      </c>
    </row>
    <row r="33">
      <c r="E33" s="15" t="s">
        <v>13</v>
      </c>
      <c r="F33" s="15">
        <v>350.0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M34" s="15" t="s">
        <v>14</v>
      </c>
      <c r="N34" s="15">
        <v>360.0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H35" s="15">
        <v>360.0</v>
      </c>
      <c r="I35" s="15" t="s">
        <v>16</v>
      </c>
      <c r="K35" s="15" t="s">
        <v>16</v>
      </c>
      <c r="M35" s="15" t="s">
        <v>16</v>
      </c>
      <c r="O35" s="15" t="s">
        <v>16</v>
      </c>
      <c r="Q35" s="15" t="s">
        <v>16</v>
      </c>
      <c r="U35" s="15" t="s">
        <v>22</v>
      </c>
    </row>
    <row r="36">
      <c r="U36" s="15" t="s">
        <v>23</v>
      </c>
    </row>
    <row r="37">
      <c r="C37" s="15"/>
      <c r="D37" s="23"/>
      <c r="E37" s="23"/>
      <c r="F37" s="23"/>
      <c r="G37" s="23"/>
      <c r="H37" s="23"/>
      <c r="I37" s="23"/>
      <c r="J37" s="23"/>
      <c r="K37" s="27"/>
      <c r="U37" s="15" t="s">
        <v>24</v>
      </c>
    </row>
    <row r="38">
      <c r="J38" s="15"/>
      <c r="U38" s="15" t="s">
        <v>25</v>
      </c>
    </row>
    <row r="43">
      <c r="A43" s="26" t="s">
        <v>11</v>
      </c>
    </row>
    <row r="44">
      <c r="A44" s="14">
        <v>2500.0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">
      <formula1>"Food &amp; Drinks,Transportation,School,Trips,Shopping,Others"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26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1500.0</v>
      </c>
      <c r="E6" s="15" t="s">
        <v>7</v>
      </c>
      <c r="F6" s="15">
        <v>40.0</v>
      </c>
      <c r="G6" s="15" t="s">
        <v>7</v>
      </c>
      <c r="H6" s="15">
        <v>22.0</v>
      </c>
      <c r="I6" s="15" t="s">
        <v>7</v>
      </c>
      <c r="J6" s="15">
        <v>50.0</v>
      </c>
      <c r="K6" s="15" t="s">
        <v>7</v>
      </c>
      <c r="L6" s="15">
        <v>55.0</v>
      </c>
      <c r="M6" s="15" t="s">
        <v>7</v>
      </c>
      <c r="N6" s="15">
        <v>310.0</v>
      </c>
      <c r="O6" s="15" t="s">
        <v>7</v>
      </c>
      <c r="Q6" s="15" t="s">
        <v>7</v>
      </c>
      <c r="S6" s="16">
        <f>SUM(D6:D11,F6:F11,H6:H11,J6:J11,L6:L11,N6:N11,P6:P11)</f>
        <v>3277</v>
      </c>
      <c r="U6" s="17" t="s">
        <v>8</v>
      </c>
      <c r="V6" s="16">
        <f>SUM(D6,F6,H6,J6,L6,N6,P6,P14,N14,L14,J14,H14,F14,D14,D22,D30,F30,F22,H22,J22,L22,N22,P22,P30,N30,L30,J30,H30,H38,F38,D38)</f>
        <v>1722</v>
      </c>
      <c r="X6" s="17" t="s">
        <v>9</v>
      </c>
      <c r="Y6" s="16">
        <f>SUM(A6,A14,A22,A30,A38)</f>
        <v>18700</v>
      </c>
    </row>
    <row r="7">
      <c r="E7" s="15" t="s">
        <v>10</v>
      </c>
      <c r="F7" s="15">
        <v>30.0</v>
      </c>
      <c r="G7" s="15" t="s">
        <v>10</v>
      </c>
      <c r="H7" s="15">
        <v>30.0</v>
      </c>
      <c r="I7" s="15" t="s">
        <v>10</v>
      </c>
      <c r="J7" s="15">
        <v>30.0</v>
      </c>
      <c r="K7" s="15" t="s">
        <v>10</v>
      </c>
      <c r="L7" s="15">
        <v>30.0</v>
      </c>
      <c r="M7" s="15" t="s">
        <v>10</v>
      </c>
      <c r="N7" s="15">
        <v>55.0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625</v>
      </c>
      <c r="X7" s="17" t="s">
        <v>11</v>
      </c>
      <c r="Y7" s="18">
        <f>A44</f>
        <v>29000</v>
      </c>
    </row>
    <row r="8">
      <c r="E8" s="15" t="s">
        <v>12</v>
      </c>
      <c r="G8" s="15" t="s">
        <v>12</v>
      </c>
      <c r="I8" s="15" t="s">
        <v>12</v>
      </c>
      <c r="J8" s="15">
        <v>50.0</v>
      </c>
      <c r="K8" s="15" t="s">
        <v>12</v>
      </c>
      <c r="L8" s="15">
        <v>100.0</v>
      </c>
      <c r="M8" s="15" t="s">
        <v>12</v>
      </c>
      <c r="N8" s="15">
        <v>140.0</v>
      </c>
      <c r="O8" s="15" t="s">
        <v>12</v>
      </c>
      <c r="Q8" s="15" t="s">
        <v>12</v>
      </c>
      <c r="U8" s="17" t="s">
        <v>12</v>
      </c>
      <c r="V8" s="16">
        <f t="shared" si="1"/>
        <v>940</v>
      </c>
      <c r="Y8" s="19">
        <f>SUM(Y6,Y7)</f>
        <v>47700</v>
      </c>
    </row>
    <row r="9">
      <c r="E9" s="15" t="s">
        <v>13</v>
      </c>
      <c r="F9" s="15">
        <v>50.0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2254</v>
      </c>
    </row>
    <row r="10">
      <c r="E10" s="15" t="s">
        <v>14</v>
      </c>
      <c r="G10" s="15" t="s">
        <v>14</v>
      </c>
      <c r="H10" s="15">
        <v>1500.0</v>
      </c>
      <c r="I10" s="15" t="s">
        <v>14</v>
      </c>
      <c r="K10" s="15" t="s">
        <v>14</v>
      </c>
      <c r="M10" s="15" t="s">
        <v>14</v>
      </c>
      <c r="N10" s="15">
        <v>785.0</v>
      </c>
      <c r="O10" s="15" t="s">
        <v>14</v>
      </c>
      <c r="Q10" s="15" t="s">
        <v>14</v>
      </c>
      <c r="U10" s="17" t="s">
        <v>14</v>
      </c>
      <c r="V10" s="16">
        <f t="shared" si="1"/>
        <v>40685</v>
      </c>
      <c r="X10" s="20" t="s">
        <v>15</v>
      </c>
      <c r="Y10" s="21">
        <f>(Y8-V32)</f>
        <v>-326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1800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>
        <v>600.0</v>
      </c>
      <c r="D14" s="15">
        <v>205.0</v>
      </c>
      <c r="E14" s="15" t="s">
        <v>7</v>
      </c>
      <c r="G14" s="15" t="s">
        <v>7</v>
      </c>
      <c r="H14" s="15">
        <v>200.0</v>
      </c>
      <c r="I14" s="15" t="s">
        <v>7</v>
      </c>
      <c r="K14" s="15" t="s">
        <v>7</v>
      </c>
      <c r="M14" s="15" t="s">
        <v>7</v>
      </c>
      <c r="O14" s="15" t="s">
        <v>7</v>
      </c>
      <c r="P14" s="15">
        <v>220.0</v>
      </c>
      <c r="Q14" s="15" t="s">
        <v>7</v>
      </c>
      <c r="S14" s="16">
        <f>SUM(D14:D19,F14:F19,H14:H19,H19,J14:J19,L14:L19,N14:N19,P14:P19)</f>
        <v>1870</v>
      </c>
    </row>
    <row r="15">
      <c r="D15" s="15">
        <v>50.0</v>
      </c>
      <c r="E15" s="15" t="s">
        <v>10</v>
      </c>
      <c r="G15" s="15" t="s">
        <v>10</v>
      </c>
      <c r="H15" s="15">
        <v>50.0</v>
      </c>
      <c r="I15" s="15" t="s">
        <v>10</v>
      </c>
      <c r="K15" s="15" t="s">
        <v>10</v>
      </c>
      <c r="M15" s="15" t="s">
        <v>10</v>
      </c>
      <c r="O15" s="15" t="s">
        <v>10</v>
      </c>
      <c r="P15" s="15">
        <v>50.0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J16" s="15">
        <v>100.0</v>
      </c>
      <c r="K16" s="15" t="s">
        <v>12</v>
      </c>
      <c r="L16" s="15">
        <v>100.0</v>
      </c>
      <c r="M16" s="15" t="s">
        <v>12</v>
      </c>
      <c r="O16" s="15" t="s">
        <v>12</v>
      </c>
      <c r="Q16" s="15" t="s">
        <v>12</v>
      </c>
    </row>
    <row r="17">
      <c r="D17" s="15">
        <v>125.0</v>
      </c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J19" s="15">
        <v>770.0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>
        <v>500.0</v>
      </c>
      <c r="E22" s="15" t="s">
        <v>7</v>
      </c>
      <c r="G22" s="15" t="s">
        <v>7</v>
      </c>
      <c r="H22" s="15">
        <v>200.0</v>
      </c>
      <c r="I22" s="15" t="s">
        <v>7</v>
      </c>
      <c r="K22" s="15" t="s">
        <v>7</v>
      </c>
      <c r="M22" s="15" t="s">
        <v>7</v>
      </c>
      <c r="O22" s="15" t="s">
        <v>7</v>
      </c>
      <c r="Q22" s="15" t="s">
        <v>7</v>
      </c>
      <c r="S22" s="1">
        <f>SUM(D22:D27,F22:F27,H22:H27,J22:J27,L22:L27,N22:N27,P22:P27)</f>
        <v>2340</v>
      </c>
    </row>
    <row r="23">
      <c r="D23" s="15">
        <v>50.0</v>
      </c>
      <c r="E23" s="15" t="s">
        <v>10</v>
      </c>
      <c r="F23" s="15">
        <v>40.0</v>
      </c>
      <c r="G23" s="15" t="s">
        <v>10</v>
      </c>
      <c r="H23" s="15">
        <v>20.0</v>
      </c>
      <c r="I23" s="15" t="s">
        <v>10</v>
      </c>
      <c r="K23" s="15" t="s">
        <v>10</v>
      </c>
      <c r="M23" s="15" t="s">
        <v>10</v>
      </c>
      <c r="O23" s="15" t="s">
        <v>10</v>
      </c>
      <c r="Q23" s="15" t="s">
        <v>10</v>
      </c>
    </row>
    <row r="24">
      <c r="D24" s="15">
        <v>100.0</v>
      </c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D25" s="15">
        <v>500.0</v>
      </c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D26" s="15">
        <v>400.0</v>
      </c>
      <c r="E26" s="15" t="s">
        <v>14</v>
      </c>
      <c r="G26" s="15" t="s">
        <v>14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D27" s="15">
        <v>280.0</v>
      </c>
      <c r="E27" s="15" t="s">
        <v>16</v>
      </c>
      <c r="F27" s="15">
        <v>650.0</v>
      </c>
      <c r="G27" s="15" t="s">
        <v>16</v>
      </c>
      <c r="I27" s="15" t="s">
        <v>16</v>
      </c>
      <c r="K27" s="15" t="s">
        <v>16</v>
      </c>
      <c r="L27" s="15">
        <v>50.0</v>
      </c>
      <c r="M27" s="15" t="s">
        <v>16</v>
      </c>
      <c r="N27" s="15">
        <v>50.0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15500.0</v>
      </c>
      <c r="E30" s="15" t="s">
        <v>7</v>
      </c>
      <c r="F30" s="15">
        <v>220.0</v>
      </c>
      <c r="G30" s="15" t="s">
        <v>7</v>
      </c>
      <c r="H30" s="15">
        <v>200.0</v>
      </c>
      <c r="I30" s="15" t="s">
        <v>7</v>
      </c>
      <c r="K30" s="15" t="s">
        <v>7</v>
      </c>
      <c r="M30" s="15" t="s">
        <v>7</v>
      </c>
      <c r="O30" s="15" t="s">
        <v>7</v>
      </c>
      <c r="Q30" s="15" t="s">
        <v>7</v>
      </c>
      <c r="S30" s="16">
        <f>SUM(D30:D35,F30:F35,H30:H35,J30:J35,L30:L35,N30:N36,N35,P30:P35)</f>
        <v>40439</v>
      </c>
    </row>
    <row r="31">
      <c r="E31" s="15" t="s">
        <v>10</v>
      </c>
      <c r="F31" s="15">
        <v>45.0</v>
      </c>
      <c r="G31" s="15" t="s">
        <v>10</v>
      </c>
      <c r="H31" s="15">
        <v>45.0</v>
      </c>
      <c r="I31" s="15" t="s">
        <v>10</v>
      </c>
      <c r="J31" s="15">
        <v>50.0</v>
      </c>
      <c r="K31" s="15" t="s">
        <v>10</v>
      </c>
      <c r="L31" s="15">
        <v>50.0</v>
      </c>
      <c r="M31" s="15" t="s">
        <v>10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H32" s="15">
        <v>250.0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48026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M33" s="15" t="s">
        <v>13</v>
      </c>
      <c r="N33" s="15">
        <v>555.0</v>
      </c>
      <c r="O33" s="15" t="s">
        <v>13</v>
      </c>
      <c r="P33" s="15">
        <v>1024.0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L34" s="15">
        <v>38000.0</v>
      </c>
      <c r="M34" s="15" t="s">
        <v>14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14">
        <v>600.0</v>
      </c>
      <c r="E38" s="15" t="s">
        <v>7</v>
      </c>
      <c r="G38" s="15" t="s">
        <v>7</v>
      </c>
      <c r="I38" s="15" t="s">
        <v>7</v>
      </c>
      <c r="K38" s="16">
        <f>SUM(D38:D43,F38:F43,H38:H43)</f>
        <v>100</v>
      </c>
    </row>
    <row r="39">
      <c r="E39" s="15" t="s">
        <v>10</v>
      </c>
      <c r="G39" s="15" t="s">
        <v>10</v>
      </c>
      <c r="I39" s="15" t="s">
        <v>10</v>
      </c>
    </row>
    <row r="40">
      <c r="E40" s="15" t="s">
        <v>12</v>
      </c>
      <c r="G40" s="15" t="s">
        <v>12</v>
      </c>
      <c r="H40" s="15">
        <v>100.0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>
        <v>29000.0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27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650.0</v>
      </c>
      <c r="D6" s="15">
        <v>134.0</v>
      </c>
      <c r="E6" s="15" t="s">
        <v>7</v>
      </c>
      <c r="G6" s="15" t="s">
        <v>7</v>
      </c>
      <c r="I6" s="15" t="s">
        <v>7</v>
      </c>
      <c r="K6" s="15" t="s">
        <v>7</v>
      </c>
      <c r="M6" s="15" t="s">
        <v>7</v>
      </c>
      <c r="O6" s="15" t="s">
        <v>7</v>
      </c>
      <c r="P6" s="28">
        <f>SUM(38+160)</f>
        <v>198</v>
      </c>
      <c r="Q6" s="15" t="s">
        <v>7</v>
      </c>
      <c r="S6" s="16">
        <f>SUM(D6:D11,F6:F11,H6:H11,J6:J11,L6:L11,N6:N11,P6:P11)</f>
        <v>716</v>
      </c>
      <c r="U6" s="17" t="s">
        <v>8</v>
      </c>
      <c r="V6" s="16">
        <f>SUM(D6,F6,H6,J6,L6,N6,P6,P14,N14,L14,J14,H14,F14,D14,D22,D30,F30,F22,H22,J22,L22,N22,P22,P30,N30,L30,J30,H30,H38,F38,D38)</f>
        <v>1823</v>
      </c>
      <c r="X6" s="17" t="s">
        <v>9</v>
      </c>
      <c r="Y6" s="16">
        <f>SUM(A6,A14,A22,A30,A38)</f>
        <v>3650</v>
      </c>
    </row>
    <row r="7">
      <c r="D7" s="15">
        <v>190.0</v>
      </c>
      <c r="E7" s="15" t="s">
        <v>10</v>
      </c>
      <c r="G7" s="15" t="s">
        <v>10</v>
      </c>
      <c r="I7" s="15" t="s">
        <v>10</v>
      </c>
      <c r="K7" s="15" t="s">
        <v>10</v>
      </c>
      <c r="M7" s="15" t="s">
        <v>10</v>
      </c>
      <c r="N7" s="15">
        <v>60.0</v>
      </c>
      <c r="O7" s="15" t="s">
        <v>10</v>
      </c>
      <c r="P7" s="28">
        <f>SUM(24+15+13+12)</f>
        <v>64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584</v>
      </c>
      <c r="X7" s="17" t="s">
        <v>11</v>
      </c>
      <c r="Y7" s="18">
        <f>A44</f>
        <v>8000</v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950</v>
      </c>
      <c r="Y8" s="19">
        <f>SUM(Y6,Y7)</f>
        <v>11650</v>
      </c>
    </row>
    <row r="9">
      <c r="D9" s="15">
        <v>70.0</v>
      </c>
      <c r="E9" s="15" t="s">
        <v>13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270</v>
      </c>
    </row>
    <row r="10">
      <c r="E10" s="15" t="s">
        <v>14</v>
      </c>
      <c r="G10" s="15" t="s">
        <v>14</v>
      </c>
      <c r="I10" s="15" t="s">
        <v>14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794</v>
      </c>
      <c r="X10" s="20" t="s">
        <v>15</v>
      </c>
      <c r="Y10" s="21">
        <f>(Y8-V32)</f>
        <v>6529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700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>
        <v>700.0</v>
      </c>
      <c r="E14" s="15" t="s">
        <v>7</v>
      </c>
      <c r="F14" s="15">
        <v>50.0</v>
      </c>
      <c r="G14" s="15" t="s">
        <v>7</v>
      </c>
      <c r="I14" s="15" t="s">
        <v>7</v>
      </c>
      <c r="J14" s="15">
        <v>50.0</v>
      </c>
      <c r="K14" s="15" t="s">
        <v>7</v>
      </c>
      <c r="L14" s="15">
        <v>250.0</v>
      </c>
      <c r="M14" s="15" t="s">
        <v>7</v>
      </c>
      <c r="N14" s="15">
        <v>30.0</v>
      </c>
      <c r="O14" s="15" t="s">
        <v>7</v>
      </c>
      <c r="P14" s="15">
        <v>25.0</v>
      </c>
      <c r="Q14" s="15" t="s">
        <v>7</v>
      </c>
      <c r="S14" s="16">
        <f>SUM(D14:D19,F14:F19,H14:H19,H19,J14:J19,L14:L19,N14:N19,P14:P19)</f>
        <v>925</v>
      </c>
    </row>
    <row r="15">
      <c r="E15" s="15" t="s">
        <v>10</v>
      </c>
      <c r="G15" s="15" t="s">
        <v>10</v>
      </c>
      <c r="I15" s="15" t="s">
        <v>10</v>
      </c>
      <c r="K15" s="15" t="s">
        <v>10</v>
      </c>
      <c r="M15" s="15" t="s">
        <v>10</v>
      </c>
      <c r="O15" s="15" t="s">
        <v>10</v>
      </c>
      <c r="Q15" s="15" t="s">
        <v>10</v>
      </c>
    </row>
    <row r="16">
      <c r="D16" s="15">
        <v>500.0</v>
      </c>
      <c r="E16" s="15" t="s">
        <v>12</v>
      </c>
      <c r="G16" s="15" t="s">
        <v>12</v>
      </c>
      <c r="H16" s="15">
        <v>20.0</v>
      </c>
      <c r="I16" s="15" t="s">
        <v>12</v>
      </c>
      <c r="K16" s="15" t="s">
        <v>12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>
        <v>500.0</v>
      </c>
      <c r="D22" s="15">
        <v>80.0</v>
      </c>
      <c r="E22" s="15" t="s">
        <v>7</v>
      </c>
      <c r="F22" s="15">
        <v>100.0</v>
      </c>
      <c r="G22" s="15" t="s">
        <v>7</v>
      </c>
      <c r="H22" s="15">
        <v>190.0</v>
      </c>
      <c r="I22" s="15" t="s">
        <v>7</v>
      </c>
      <c r="J22" s="15">
        <v>50.0</v>
      </c>
      <c r="K22" s="15" t="s">
        <v>7</v>
      </c>
      <c r="L22" s="15">
        <v>236.0</v>
      </c>
      <c r="M22" s="15" t="s">
        <v>7</v>
      </c>
      <c r="N22" s="15">
        <v>150.0</v>
      </c>
      <c r="O22" s="15" t="s">
        <v>7</v>
      </c>
      <c r="P22" s="15">
        <v>210.0</v>
      </c>
      <c r="Q22" s="15" t="s">
        <v>7</v>
      </c>
      <c r="S22" s="1">
        <f>SUM(D22:D27,F22:F27,H22:H27,J22:J27,L22:L27,N22:N27,P22:P27)</f>
        <v>1616</v>
      </c>
    </row>
    <row r="23">
      <c r="E23" s="15" t="s">
        <v>10</v>
      </c>
      <c r="G23" s="15" t="s">
        <v>10</v>
      </c>
      <c r="I23" s="15" t="s">
        <v>10</v>
      </c>
      <c r="J23" s="15">
        <v>220.0</v>
      </c>
      <c r="K23" s="15" t="s">
        <v>10</v>
      </c>
      <c r="M23" s="15" t="s">
        <v>10</v>
      </c>
      <c r="O23" s="15" t="s">
        <v>10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J24" s="15">
        <v>300.0</v>
      </c>
      <c r="K24" s="15" t="s">
        <v>12</v>
      </c>
      <c r="L24" s="15">
        <v>80.0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E26" s="15" t="s">
        <v>14</v>
      </c>
      <c r="G26" s="15" t="s">
        <v>14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1200.0</v>
      </c>
      <c r="E30" s="15" t="s">
        <v>7</v>
      </c>
      <c r="G30" s="15" t="s">
        <v>7</v>
      </c>
      <c r="I30" s="15" t="s">
        <v>7</v>
      </c>
      <c r="K30" s="15" t="s">
        <v>7</v>
      </c>
      <c r="M30" s="15" t="s">
        <v>7</v>
      </c>
      <c r="O30" s="15" t="s">
        <v>7</v>
      </c>
      <c r="Q30" s="15" t="s">
        <v>7</v>
      </c>
      <c r="S30" s="16">
        <f>SUM(D30:D35,F30:F35,H30:H35,J30:J35,L30:L35,N30:N36,N35,P30:P35)</f>
        <v>1585</v>
      </c>
    </row>
    <row r="31"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5121</v>
      </c>
    </row>
    <row r="33">
      <c r="E33" s="15" t="s">
        <v>13</v>
      </c>
      <c r="F33" s="15">
        <v>200.0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F34" s="15">
        <v>650.0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P34" s="15">
        <v>35.0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O35" s="15" t="s">
        <v>16</v>
      </c>
      <c r="P35" s="15">
        <v>700.0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14">
        <v>600.0</v>
      </c>
      <c r="E38" s="15" t="s">
        <v>7</v>
      </c>
      <c r="F38" s="15">
        <v>70.0</v>
      </c>
      <c r="G38" s="15" t="s">
        <v>7</v>
      </c>
      <c r="I38" s="15" t="s">
        <v>7</v>
      </c>
      <c r="K38" s="16">
        <f>SUM(D38:D43,F38:F43,H38:H43)</f>
        <v>279</v>
      </c>
    </row>
    <row r="39">
      <c r="E39" s="15" t="s">
        <v>10</v>
      </c>
      <c r="F39" s="15">
        <v>50.0</v>
      </c>
      <c r="G39" s="15" t="s">
        <v>10</v>
      </c>
      <c r="I39" s="15" t="s">
        <v>10</v>
      </c>
    </row>
    <row r="40">
      <c r="E40" s="15" t="s">
        <v>12</v>
      </c>
      <c r="F40" s="15">
        <v>50.0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F42" s="15">
        <v>109.0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>
        <v>8000.0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28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500.0</v>
      </c>
      <c r="E6" s="15" t="s">
        <v>7</v>
      </c>
      <c r="F6" s="28">
        <f>SUM(85+25+15)</f>
        <v>125</v>
      </c>
      <c r="G6" s="15" t="s">
        <v>7</v>
      </c>
      <c r="H6" s="28">
        <f>SUM(100 + 115)</f>
        <v>215</v>
      </c>
      <c r="I6" s="15" t="s">
        <v>7</v>
      </c>
      <c r="K6" s="15" t="s">
        <v>7</v>
      </c>
      <c r="M6" s="15" t="s">
        <v>7</v>
      </c>
      <c r="O6" s="15" t="s">
        <v>7</v>
      </c>
      <c r="Q6" s="15" t="s">
        <v>7</v>
      </c>
      <c r="S6" s="16">
        <f>SUM(D6:D11,F6:F11,H6:H11,J6:J11,L6:L11,N6:N11,P6:P11)</f>
        <v>1340</v>
      </c>
      <c r="U6" s="17" t="s">
        <v>8</v>
      </c>
      <c r="V6" s="16">
        <f>SUM(D6,F6,H6,J6,L6,N6,P6,P14,N14,L14,J14,H14,F14,D14,D22,D30,F30,F22,H22,J22,L22,N22,P22,P30,N30,L30,J30,H30,H38,F38,D38)</f>
        <v>1523</v>
      </c>
      <c r="X6" s="17" t="s">
        <v>9</v>
      </c>
      <c r="Y6" s="16">
        <f>SUM(A6,A14,A22,A30,A38)</f>
        <v>1800</v>
      </c>
    </row>
    <row r="7">
      <c r="E7" s="15" t="s">
        <v>10</v>
      </c>
      <c r="F7" s="15">
        <v>65.0</v>
      </c>
      <c r="G7" s="15" t="s">
        <v>10</v>
      </c>
      <c r="H7" s="28">
        <f>SUM(17+10+13+13+12)</f>
        <v>65</v>
      </c>
      <c r="I7" s="15" t="s">
        <v>10</v>
      </c>
      <c r="K7" s="15" t="s">
        <v>10</v>
      </c>
      <c r="M7" s="15" t="s">
        <v>10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585</v>
      </c>
      <c r="X7" s="17" t="s">
        <v>11</v>
      </c>
      <c r="Y7" s="18">
        <f>A44</f>
        <v>6000</v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75</v>
      </c>
      <c r="Y8" s="19">
        <f>SUM(Y6,Y7)</f>
        <v>7800</v>
      </c>
    </row>
    <row r="9">
      <c r="E9" s="15" t="s">
        <v>13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0</v>
      </c>
    </row>
    <row r="10">
      <c r="E10" s="15" t="s">
        <v>14</v>
      </c>
      <c r="G10" s="15" t="s">
        <v>14</v>
      </c>
      <c r="I10" s="15" t="s">
        <v>14</v>
      </c>
      <c r="J10" s="15">
        <v>870.0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3135</v>
      </c>
      <c r="X10" s="20" t="s">
        <v>15</v>
      </c>
      <c r="Y10" s="21">
        <f>(Y8-V32)</f>
        <v>2182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300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>
        <v>600.0</v>
      </c>
      <c r="E14" s="15" t="s">
        <v>7</v>
      </c>
      <c r="G14" s="15" t="s">
        <v>7</v>
      </c>
      <c r="I14" s="15" t="s">
        <v>7</v>
      </c>
      <c r="J14" s="15">
        <v>170.0</v>
      </c>
      <c r="K14" s="15" t="s">
        <v>7</v>
      </c>
      <c r="L14" s="15">
        <v>25.0</v>
      </c>
      <c r="M14" s="15" t="s">
        <v>7</v>
      </c>
      <c r="N14" s="15">
        <v>280.0</v>
      </c>
      <c r="O14" s="15" t="s">
        <v>7</v>
      </c>
      <c r="Q14" s="15" t="s">
        <v>7</v>
      </c>
      <c r="S14" s="16">
        <f>SUM(D14:D19,F14:F19,H14:H19,H19,J14:J19,L14:L19,N14:N19,P14:P19)</f>
        <v>915</v>
      </c>
    </row>
    <row r="15">
      <c r="E15" s="15" t="s">
        <v>10</v>
      </c>
      <c r="G15" s="15" t="s">
        <v>10</v>
      </c>
      <c r="I15" s="15" t="s">
        <v>10</v>
      </c>
      <c r="J15" s="15">
        <v>50.0</v>
      </c>
      <c r="K15" s="15" t="s">
        <v>10</v>
      </c>
      <c r="L15" s="15">
        <v>50.0</v>
      </c>
      <c r="M15" s="15" t="s">
        <v>10</v>
      </c>
      <c r="N15" s="15">
        <v>25.0</v>
      </c>
      <c r="O15" s="15" t="s">
        <v>10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K16" s="15" t="s">
        <v>12</v>
      </c>
      <c r="L16" s="15">
        <v>75.0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J18" s="15">
        <v>240.0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>
        <v>200.0</v>
      </c>
      <c r="D22" s="15">
        <v>315.0</v>
      </c>
      <c r="E22" s="15" t="s">
        <v>7</v>
      </c>
      <c r="F22" s="15">
        <v>130.0</v>
      </c>
      <c r="G22" s="15" t="s">
        <v>7</v>
      </c>
      <c r="I22" s="15" t="s">
        <v>7</v>
      </c>
      <c r="K22" s="15" t="s">
        <v>7</v>
      </c>
      <c r="L22" s="15">
        <v>223.0</v>
      </c>
      <c r="M22" s="15" t="s">
        <v>7</v>
      </c>
      <c r="O22" s="15" t="s">
        <v>7</v>
      </c>
      <c r="P22" s="15">
        <v>40.0</v>
      </c>
      <c r="Q22" s="15" t="s">
        <v>7</v>
      </c>
      <c r="S22" s="1">
        <f>SUM(D22:D27,F22:F27,H22:H27,J22:J27,L22:L27,N22:N27,P22:P27)</f>
        <v>3363</v>
      </c>
    </row>
    <row r="23">
      <c r="D23" s="15">
        <v>50.0</v>
      </c>
      <c r="E23" s="15" t="s">
        <v>10</v>
      </c>
      <c r="F23" s="15">
        <v>40.0</v>
      </c>
      <c r="G23" s="15" t="s">
        <v>10</v>
      </c>
      <c r="I23" s="15" t="s">
        <v>10</v>
      </c>
      <c r="J23" s="15">
        <v>150.0</v>
      </c>
      <c r="K23" s="15" t="s">
        <v>10</v>
      </c>
      <c r="L23" s="15">
        <v>50.0</v>
      </c>
      <c r="M23" s="15" t="s">
        <v>10</v>
      </c>
      <c r="O23" s="15" t="s">
        <v>10</v>
      </c>
      <c r="P23" s="15">
        <v>40.0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E26" s="15" t="s">
        <v>14</v>
      </c>
      <c r="G26" s="15" t="s">
        <v>14</v>
      </c>
      <c r="I26" s="15" t="s">
        <v>14</v>
      </c>
      <c r="K26" s="15" t="s">
        <v>14</v>
      </c>
      <c r="L26" s="15">
        <v>1900.0</v>
      </c>
      <c r="M26" s="15" t="s">
        <v>14</v>
      </c>
      <c r="O26" s="15" t="s">
        <v>14</v>
      </c>
      <c r="P26" s="15">
        <v>125.0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L27" s="15">
        <v>300.0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500.0</v>
      </c>
      <c r="E30" s="15" t="s">
        <v>7</v>
      </c>
      <c r="G30" s="15" t="s">
        <v>7</v>
      </c>
      <c r="I30" s="15" t="s">
        <v>7</v>
      </c>
      <c r="K30" s="15" t="s">
        <v>7</v>
      </c>
      <c r="M30" s="15" t="s">
        <v>7</v>
      </c>
      <c r="O30" s="15" t="s">
        <v>7</v>
      </c>
      <c r="Q30" s="15" t="s">
        <v>7</v>
      </c>
      <c r="S30" s="16">
        <f>SUM(D30:D35,F30:F35,H30:H35,J30:J35,L30:L35,N30:N36,N35,P30:P35)</f>
        <v>0</v>
      </c>
    </row>
    <row r="31"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5618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25"/>
      <c r="E38" s="15" t="s">
        <v>7</v>
      </c>
      <c r="G38" s="15" t="s">
        <v>7</v>
      </c>
      <c r="I38" s="15" t="s">
        <v>7</v>
      </c>
      <c r="K38" s="16">
        <f>SUM(D38:D43,F38:F43,H38:H43)</f>
        <v>0</v>
      </c>
    </row>
    <row r="39">
      <c r="E39" s="15" t="s">
        <v>10</v>
      </c>
      <c r="G39" s="15" t="s">
        <v>10</v>
      </c>
      <c r="I39" s="15" t="s">
        <v>10</v>
      </c>
    </row>
    <row r="40">
      <c r="E40" s="15" t="s">
        <v>12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>
        <v>6000.0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29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>
        <v>500.0</v>
      </c>
      <c r="E6" s="15" t="s">
        <v>7</v>
      </c>
      <c r="G6" s="15" t="s">
        <v>7</v>
      </c>
      <c r="I6" s="15" t="s">
        <v>7</v>
      </c>
      <c r="K6" s="15" t="s">
        <v>7</v>
      </c>
      <c r="M6" s="15" t="s">
        <v>7</v>
      </c>
      <c r="O6" s="15" t="s">
        <v>7</v>
      </c>
      <c r="Q6" s="15" t="s">
        <v>7</v>
      </c>
      <c r="S6" s="16">
        <f>SUM(D6:D11,F6:F11,H6:H11,J6:J11,L6:L11,N6:N11,P6:P11)</f>
        <v>0</v>
      </c>
      <c r="U6" s="17" t="s">
        <v>8</v>
      </c>
      <c r="V6" s="16">
        <f>SUM(D6,F6,H6,J6,L6,N6,P6,P14,N14,L14,J14,H14,F14,D14,D22,D30,F30,F22,H22,J22,L22,N22,P22,P30,N30,L30,J30,H30,H38,F38,D38)</f>
        <v>476</v>
      </c>
      <c r="X6" s="17" t="s">
        <v>9</v>
      </c>
      <c r="Y6" s="16">
        <f>SUM(A6,A14,A22,A30,A38)</f>
        <v>1500</v>
      </c>
    </row>
    <row r="7">
      <c r="E7" s="15" t="s">
        <v>10</v>
      </c>
      <c r="G7" s="15" t="s">
        <v>10</v>
      </c>
      <c r="I7" s="15" t="s">
        <v>10</v>
      </c>
      <c r="K7" s="15" t="s">
        <v>10</v>
      </c>
      <c r="M7" s="15" t="s">
        <v>10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290</v>
      </c>
      <c r="X7" s="17" t="s">
        <v>11</v>
      </c>
      <c r="Y7" s="18">
        <f>A44</f>
        <v>6000</v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10</v>
      </c>
      <c r="Y8" s="19">
        <f>SUM(Y6,Y7)</f>
        <v>7500</v>
      </c>
    </row>
    <row r="9">
      <c r="E9" s="15" t="s">
        <v>13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175</v>
      </c>
    </row>
    <row r="10">
      <c r="E10" s="15" t="s">
        <v>14</v>
      </c>
      <c r="G10" s="15" t="s">
        <v>14</v>
      </c>
      <c r="I10" s="15" t="s">
        <v>14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0</v>
      </c>
      <c r="X10" s="20" t="s">
        <v>15</v>
      </c>
      <c r="Y10" s="21">
        <f>(Y8-V32)</f>
        <v>6399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150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/>
      <c r="E14" s="15" t="s">
        <v>7</v>
      </c>
      <c r="G14" s="15" t="s">
        <v>7</v>
      </c>
      <c r="I14" s="15" t="s">
        <v>7</v>
      </c>
      <c r="K14" s="15" t="s">
        <v>7</v>
      </c>
      <c r="M14" s="15" t="s">
        <v>7</v>
      </c>
      <c r="O14" s="15" t="s">
        <v>7</v>
      </c>
      <c r="Q14" s="15" t="s">
        <v>7</v>
      </c>
      <c r="S14" s="16">
        <f>SUM(D14:D19,F14:F19,H14:H19,H19,J14:J19,L14:L19,N14:N19,P14:P19)</f>
        <v>0</v>
      </c>
    </row>
    <row r="15">
      <c r="E15" s="15" t="s">
        <v>10</v>
      </c>
      <c r="G15" s="15" t="s">
        <v>10</v>
      </c>
      <c r="I15" s="15" t="s">
        <v>10</v>
      </c>
      <c r="K15" s="15" t="s">
        <v>10</v>
      </c>
      <c r="M15" s="15" t="s">
        <v>10</v>
      </c>
      <c r="O15" s="15" t="s">
        <v>10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K16" s="15" t="s">
        <v>12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/>
      <c r="E22" s="15" t="s">
        <v>7</v>
      </c>
      <c r="G22" s="15" t="s">
        <v>7</v>
      </c>
      <c r="I22" s="15" t="s">
        <v>7</v>
      </c>
      <c r="K22" s="15" t="s">
        <v>7</v>
      </c>
      <c r="M22" s="15" t="s">
        <v>7</v>
      </c>
      <c r="N22" s="15">
        <v>55.0</v>
      </c>
      <c r="O22" s="15" t="s">
        <v>7</v>
      </c>
      <c r="Q22" s="15" t="s">
        <v>7</v>
      </c>
      <c r="S22" s="1">
        <f>SUM(D22:D27,F22:F27,H22:H27,J22:J27,L22:L27,N22:N27,P22:P27)</f>
        <v>95</v>
      </c>
    </row>
    <row r="23">
      <c r="E23" s="15" t="s">
        <v>10</v>
      </c>
      <c r="G23" s="15" t="s">
        <v>10</v>
      </c>
      <c r="I23" s="15" t="s">
        <v>10</v>
      </c>
      <c r="K23" s="15" t="s">
        <v>10</v>
      </c>
      <c r="M23" s="15" t="s">
        <v>10</v>
      </c>
      <c r="N23" s="15">
        <v>40.0</v>
      </c>
      <c r="O23" s="15" t="s">
        <v>10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E26" s="15" t="s">
        <v>14</v>
      </c>
      <c r="G26" s="15" t="s">
        <v>14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>
        <v>500.0</v>
      </c>
      <c r="E30" s="15" t="s">
        <v>7</v>
      </c>
      <c r="G30" s="15" t="s">
        <v>7</v>
      </c>
      <c r="I30" s="15" t="s">
        <v>7</v>
      </c>
      <c r="J30" s="15">
        <v>70.0</v>
      </c>
      <c r="K30" s="15" t="s">
        <v>7</v>
      </c>
      <c r="M30" s="15" t="s">
        <v>7</v>
      </c>
      <c r="O30" s="15" t="s">
        <v>7</v>
      </c>
      <c r="P30" s="15">
        <v>50.0</v>
      </c>
      <c r="Q30" s="15" t="s">
        <v>7</v>
      </c>
      <c r="S30" s="16">
        <f>SUM(D30:D35,F30:F35,H30:H35,J30:J35,L30:L35,N30:N36,N35,P30:P35)</f>
        <v>765</v>
      </c>
    </row>
    <row r="31">
      <c r="E31" s="15" t="s">
        <v>10</v>
      </c>
      <c r="G31" s="15" t="s">
        <v>10</v>
      </c>
      <c r="I31" s="15" t="s">
        <v>10</v>
      </c>
      <c r="J31" s="15">
        <v>100.0</v>
      </c>
      <c r="K31" s="15" t="s">
        <v>10</v>
      </c>
      <c r="L31" s="15">
        <v>30.0</v>
      </c>
      <c r="M31" s="15" t="s">
        <v>10</v>
      </c>
      <c r="O31" s="15" t="s">
        <v>10</v>
      </c>
      <c r="P31" s="15">
        <v>40.0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1101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L33" s="15">
        <v>175.0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N35" s="15">
        <v>150.0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14">
        <v>500.0</v>
      </c>
      <c r="D38" s="28">
        <f>SUM(91+140)</f>
        <v>231</v>
      </c>
      <c r="E38" s="15" t="s">
        <v>7</v>
      </c>
      <c r="F38" s="15">
        <v>70.0</v>
      </c>
      <c r="G38" s="15" t="s">
        <v>7</v>
      </c>
      <c r="I38" s="15" t="s">
        <v>7</v>
      </c>
      <c r="K38" s="16">
        <f>SUM(D38:D43,F38:F43,H38:H43)</f>
        <v>391</v>
      </c>
    </row>
    <row r="39">
      <c r="D39" s="15">
        <v>50.0</v>
      </c>
      <c r="E39" s="15" t="s">
        <v>10</v>
      </c>
      <c r="F39" s="15">
        <v>30.0</v>
      </c>
      <c r="G39" s="15" t="s">
        <v>10</v>
      </c>
      <c r="I39" s="15" t="s">
        <v>10</v>
      </c>
    </row>
    <row r="40">
      <c r="D40" s="15">
        <v>10.0</v>
      </c>
      <c r="E40" s="15" t="s">
        <v>12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>
        <v>6000.0</v>
      </c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0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/>
      <c r="E6" s="15" t="s">
        <v>7</v>
      </c>
      <c r="G6" s="15" t="s">
        <v>7</v>
      </c>
      <c r="I6" s="15" t="s">
        <v>7</v>
      </c>
      <c r="K6" s="15" t="s">
        <v>7</v>
      </c>
      <c r="M6" s="15" t="s">
        <v>7</v>
      </c>
      <c r="O6" s="15" t="s">
        <v>7</v>
      </c>
      <c r="Q6" s="15" t="s">
        <v>7</v>
      </c>
      <c r="S6" s="16">
        <f>SUM(D6:D11,F6:F11,H6:H11,J6:J11,L6:L11,N6:N11,P6:P11)</f>
        <v>0</v>
      </c>
      <c r="U6" s="17" t="s">
        <v>8</v>
      </c>
      <c r="V6" s="16">
        <f>SUM(D6,F6,H6,J6,L6,N6,P6,P14,N14,L14,J14,H14,F14,D14,D22,D30,F30,F22,H22,J22,L22,N22,P22,P30,N30,L30,J30,H30,H38,F38,D38)</f>
        <v>0</v>
      </c>
      <c r="X6" s="17" t="s">
        <v>9</v>
      </c>
      <c r="Y6" s="16">
        <f>SUM(A6,A14,A22,A30,A38)</f>
        <v>0</v>
      </c>
    </row>
    <row r="7">
      <c r="E7" s="15" t="s">
        <v>10</v>
      </c>
      <c r="G7" s="15" t="s">
        <v>10</v>
      </c>
      <c r="I7" s="15" t="s">
        <v>10</v>
      </c>
      <c r="K7" s="15" t="s">
        <v>10</v>
      </c>
      <c r="M7" s="15" t="s">
        <v>10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0</v>
      </c>
      <c r="X7" s="17" t="s">
        <v>11</v>
      </c>
      <c r="Y7" s="18" t="str">
        <f>A44</f>
        <v/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0</v>
      </c>
      <c r="Y8" s="19">
        <f>SUM(Y6,Y7)</f>
        <v>0</v>
      </c>
    </row>
    <row r="9">
      <c r="E9" s="15" t="s">
        <v>13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0</v>
      </c>
    </row>
    <row r="10">
      <c r="E10" s="15" t="s">
        <v>14</v>
      </c>
      <c r="G10" s="15" t="s">
        <v>14</v>
      </c>
      <c r="I10" s="15" t="s">
        <v>14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0</v>
      </c>
      <c r="X10" s="20" t="s">
        <v>15</v>
      </c>
      <c r="Y10" s="21">
        <f>(Y8-V32)</f>
        <v>0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/>
      <c r="E14" s="15" t="s">
        <v>7</v>
      </c>
      <c r="G14" s="15" t="s">
        <v>7</v>
      </c>
      <c r="I14" s="15" t="s">
        <v>7</v>
      </c>
      <c r="K14" s="15" t="s">
        <v>7</v>
      </c>
      <c r="M14" s="15" t="s">
        <v>7</v>
      </c>
      <c r="O14" s="15" t="s">
        <v>7</v>
      </c>
      <c r="Q14" s="15" t="s">
        <v>7</v>
      </c>
      <c r="S14" s="16">
        <f>SUM(D14:D19,F14:F19,H14:H19,H19,J14:J19,L14:L19,N14:N19,P14:P19)</f>
        <v>0</v>
      </c>
    </row>
    <row r="15">
      <c r="E15" s="15" t="s">
        <v>10</v>
      </c>
      <c r="G15" s="15" t="s">
        <v>10</v>
      </c>
      <c r="I15" s="15" t="s">
        <v>10</v>
      </c>
      <c r="K15" s="15" t="s">
        <v>10</v>
      </c>
      <c r="M15" s="15" t="s">
        <v>10</v>
      </c>
      <c r="O15" s="15" t="s">
        <v>10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K16" s="15" t="s">
        <v>12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/>
      <c r="E22" s="15" t="s">
        <v>7</v>
      </c>
      <c r="G22" s="15" t="s">
        <v>7</v>
      </c>
      <c r="I22" s="15" t="s">
        <v>7</v>
      </c>
      <c r="K22" s="15" t="s">
        <v>7</v>
      </c>
      <c r="M22" s="15" t="s">
        <v>7</v>
      </c>
      <c r="O22" s="15" t="s">
        <v>7</v>
      </c>
      <c r="Q22" s="15" t="s">
        <v>7</v>
      </c>
      <c r="S22" s="1">
        <f>SUM(D22:D27,F22:F27,H22:H27,J22:J27,L22:L27,N22:N27,P22:P27)</f>
        <v>0</v>
      </c>
    </row>
    <row r="23">
      <c r="E23" s="15" t="s">
        <v>10</v>
      </c>
      <c r="G23" s="15" t="s">
        <v>10</v>
      </c>
      <c r="I23" s="15" t="s">
        <v>10</v>
      </c>
      <c r="K23" s="15" t="s">
        <v>10</v>
      </c>
      <c r="M23" s="15" t="s">
        <v>10</v>
      </c>
      <c r="O23" s="15" t="s">
        <v>10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E26" s="15" t="s">
        <v>14</v>
      </c>
      <c r="G26" s="15" t="s">
        <v>14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/>
      <c r="E30" s="15" t="s">
        <v>7</v>
      </c>
      <c r="G30" s="15" t="s">
        <v>7</v>
      </c>
      <c r="I30" s="15" t="s">
        <v>7</v>
      </c>
      <c r="K30" s="15" t="s">
        <v>7</v>
      </c>
      <c r="M30" s="15" t="s">
        <v>7</v>
      </c>
      <c r="O30" s="15" t="s">
        <v>7</v>
      </c>
      <c r="Q30" s="15" t="s">
        <v>7</v>
      </c>
      <c r="S30" s="16">
        <f>SUM(D30:D35,F30:F35,H30:H35,J30:J35,L30:L35,N30:N36,N35,P30:P35)</f>
        <v>0</v>
      </c>
    </row>
    <row r="31"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0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25"/>
      <c r="E38" s="15" t="s">
        <v>7</v>
      </c>
      <c r="G38" s="15" t="s">
        <v>7</v>
      </c>
      <c r="I38" s="15" t="s">
        <v>7</v>
      </c>
      <c r="K38" s="16">
        <f>SUM(D38:D43,F38:F43,H38:H43)</f>
        <v>0</v>
      </c>
    </row>
    <row r="39">
      <c r="E39" s="15" t="s">
        <v>10</v>
      </c>
      <c r="G39" s="15" t="s">
        <v>10</v>
      </c>
      <c r="I39" s="15" t="s">
        <v>10</v>
      </c>
    </row>
    <row r="40">
      <c r="E40" s="15" t="s">
        <v>12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/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G1" s="1"/>
      <c r="H1" s="1"/>
      <c r="I1" s="1"/>
      <c r="J1" s="1"/>
      <c r="K1" s="1"/>
      <c r="L1" s="1"/>
      <c r="M1" s="1"/>
    </row>
    <row r="2">
      <c r="G2" s="1"/>
      <c r="H2" s="2" t="s">
        <v>0</v>
      </c>
      <c r="I2" s="1"/>
      <c r="J2" s="1"/>
      <c r="K2" s="1"/>
      <c r="L2" s="1"/>
      <c r="M2" s="1"/>
    </row>
    <row r="3">
      <c r="G3" s="1"/>
      <c r="H3" s="1"/>
      <c r="I3" s="1"/>
      <c r="J3" s="1"/>
      <c r="K3" s="1"/>
      <c r="L3" s="1"/>
      <c r="M3" s="1"/>
    </row>
    <row r="5">
      <c r="A5" s="3" t="s">
        <v>1</v>
      </c>
      <c r="C5" s="4" t="s">
        <v>2</v>
      </c>
      <c r="D5" s="5">
        <v>1.0</v>
      </c>
      <c r="E5" s="5" t="s">
        <v>3</v>
      </c>
      <c r="F5" s="6">
        <v>2.0</v>
      </c>
      <c r="G5" s="6" t="s">
        <v>3</v>
      </c>
      <c r="H5" s="7">
        <v>3.0</v>
      </c>
      <c r="I5" s="7" t="s">
        <v>3</v>
      </c>
      <c r="J5" s="8">
        <v>4.0</v>
      </c>
      <c r="K5" s="8" t="s">
        <v>3</v>
      </c>
      <c r="L5" s="9">
        <v>5.0</v>
      </c>
      <c r="M5" s="9" t="s">
        <v>3</v>
      </c>
      <c r="N5" s="10">
        <v>6.0</v>
      </c>
      <c r="O5" s="10" t="s">
        <v>3</v>
      </c>
      <c r="P5" s="11">
        <v>7.0</v>
      </c>
      <c r="Q5" s="11" t="s">
        <v>3</v>
      </c>
      <c r="S5" s="12" t="s">
        <v>4</v>
      </c>
      <c r="U5" s="12" t="s">
        <v>5</v>
      </c>
      <c r="V5" s="13"/>
      <c r="X5" s="12" t="s">
        <v>6</v>
      </c>
      <c r="Y5" s="13"/>
    </row>
    <row r="6">
      <c r="A6" s="14"/>
      <c r="E6" s="15" t="s">
        <v>7</v>
      </c>
      <c r="G6" s="15" t="s">
        <v>7</v>
      </c>
      <c r="I6" s="15" t="s">
        <v>7</v>
      </c>
      <c r="K6" s="15" t="s">
        <v>7</v>
      </c>
      <c r="M6" s="15" t="s">
        <v>7</v>
      </c>
      <c r="O6" s="15" t="s">
        <v>7</v>
      </c>
      <c r="Q6" s="15" t="s">
        <v>7</v>
      </c>
      <c r="S6" s="16">
        <f>SUM(D6:D11,F6:F11,H6:H11,J6:J11,L6:L11,N6:N11,P6:P11)</f>
        <v>0</v>
      </c>
      <c r="U6" s="17" t="s">
        <v>8</v>
      </c>
      <c r="V6" s="16">
        <f>SUM(D6,F6,H6,J6,L6,N6,P6,P14,N14,L14,J14,H14,F14,D14,D22,D30,F30,F22,H22,J22,L22,N22,P22,P30,N30,L30,J30,H30,H38,F38,D38)</f>
        <v>0</v>
      </c>
      <c r="X6" s="17" t="s">
        <v>9</v>
      </c>
      <c r="Y6" s="16">
        <f>SUM(A6,A14,A22,A30,A38)</f>
        <v>0</v>
      </c>
    </row>
    <row r="7">
      <c r="E7" s="15" t="s">
        <v>10</v>
      </c>
      <c r="G7" s="15" t="s">
        <v>10</v>
      </c>
      <c r="I7" s="15" t="s">
        <v>10</v>
      </c>
      <c r="K7" s="15" t="s">
        <v>10</v>
      </c>
      <c r="M7" s="15" t="s">
        <v>10</v>
      </c>
      <c r="O7" s="15" t="s">
        <v>10</v>
      </c>
      <c r="Q7" s="15" t="s">
        <v>10</v>
      </c>
      <c r="U7" s="17" t="s">
        <v>10</v>
      </c>
      <c r="V7" s="16">
        <f t="shared" ref="V7:V11" si="1">SUM(D7,F7,H7,J7,L7,N7,P7,P15,N15,L15,J15,H15,F15,D15,D23,F23,H23,J23,L23,N23,P23,P31,N31,L31,J31,H31,F31,D31,D39,F39,H39)</f>
        <v>0</v>
      </c>
      <c r="X7" s="17" t="s">
        <v>11</v>
      </c>
      <c r="Y7" s="18" t="str">
        <f>A44</f>
        <v/>
      </c>
    </row>
    <row r="8">
      <c r="E8" s="15" t="s">
        <v>12</v>
      </c>
      <c r="G8" s="15" t="s">
        <v>12</v>
      </c>
      <c r="I8" s="15" t="s">
        <v>12</v>
      </c>
      <c r="K8" s="15" t="s">
        <v>12</v>
      </c>
      <c r="M8" s="15" t="s">
        <v>12</v>
      </c>
      <c r="O8" s="15" t="s">
        <v>12</v>
      </c>
      <c r="Q8" s="15" t="s">
        <v>12</v>
      </c>
      <c r="U8" s="17" t="s">
        <v>12</v>
      </c>
      <c r="V8" s="16">
        <f t="shared" si="1"/>
        <v>0</v>
      </c>
      <c r="Y8" s="19">
        <f>SUM(Y6,Y7)</f>
        <v>0</v>
      </c>
    </row>
    <row r="9">
      <c r="E9" s="15" t="s">
        <v>13</v>
      </c>
      <c r="G9" s="15" t="s">
        <v>13</v>
      </c>
      <c r="I9" s="15" t="s">
        <v>13</v>
      </c>
      <c r="K9" s="15" t="s">
        <v>13</v>
      </c>
      <c r="M9" s="15" t="s">
        <v>13</v>
      </c>
      <c r="O9" s="15" t="s">
        <v>13</v>
      </c>
      <c r="Q9" s="15" t="s">
        <v>13</v>
      </c>
      <c r="U9" s="17" t="s">
        <v>13</v>
      </c>
      <c r="V9" s="16">
        <f t="shared" si="1"/>
        <v>0</v>
      </c>
    </row>
    <row r="10">
      <c r="E10" s="15" t="s">
        <v>14</v>
      </c>
      <c r="G10" s="15" t="s">
        <v>14</v>
      </c>
      <c r="I10" s="15" t="s">
        <v>14</v>
      </c>
      <c r="K10" s="15" t="s">
        <v>14</v>
      </c>
      <c r="M10" s="15" t="s">
        <v>14</v>
      </c>
      <c r="O10" s="15" t="s">
        <v>14</v>
      </c>
      <c r="Q10" s="15" t="s">
        <v>14</v>
      </c>
      <c r="U10" s="17" t="s">
        <v>14</v>
      </c>
      <c r="V10" s="16">
        <f t="shared" si="1"/>
        <v>0</v>
      </c>
      <c r="X10" s="20" t="s">
        <v>15</v>
      </c>
      <c r="Y10" s="21">
        <f>(Y8-V32)</f>
        <v>0</v>
      </c>
    </row>
    <row r="11">
      <c r="E11" s="15" t="s">
        <v>16</v>
      </c>
      <c r="G11" s="15" t="s">
        <v>16</v>
      </c>
      <c r="I11" s="15" t="s">
        <v>16</v>
      </c>
      <c r="K11" s="15" t="s">
        <v>16</v>
      </c>
      <c r="M11" s="15" t="s">
        <v>16</v>
      </c>
      <c r="O11" s="15" t="s">
        <v>16</v>
      </c>
      <c r="Q11" s="15" t="s">
        <v>16</v>
      </c>
      <c r="U11" s="17" t="s">
        <v>16</v>
      </c>
      <c r="V11" s="16">
        <f t="shared" si="1"/>
        <v>0</v>
      </c>
    </row>
    <row r="13">
      <c r="A13" s="3" t="s">
        <v>1</v>
      </c>
      <c r="C13" s="4" t="s">
        <v>17</v>
      </c>
      <c r="D13" s="5">
        <v>8.0</v>
      </c>
      <c r="E13" s="5" t="s">
        <v>3</v>
      </c>
      <c r="F13" s="6">
        <v>9.0</v>
      </c>
      <c r="G13" s="6" t="s">
        <v>3</v>
      </c>
      <c r="H13" s="7">
        <v>10.0</v>
      </c>
      <c r="I13" s="7" t="s">
        <v>3</v>
      </c>
      <c r="J13" s="8">
        <v>11.0</v>
      </c>
      <c r="K13" s="8" t="s">
        <v>3</v>
      </c>
      <c r="L13" s="9">
        <v>12.0</v>
      </c>
      <c r="M13" s="9" t="s">
        <v>3</v>
      </c>
      <c r="N13" s="10">
        <v>13.0</v>
      </c>
      <c r="O13" s="10" t="s">
        <v>3</v>
      </c>
      <c r="P13" s="11">
        <v>14.0</v>
      </c>
      <c r="Q13" s="11" t="s">
        <v>3</v>
      </c>
      <c r="S13" s="12" t="s">
        <v>4</v>
      </c>
    </row>
    <row r="14">
      <c r="A14" s="14"/>
      <c r="E14" s="15" t="s">
        <v>7</v>
      </c>
      <c r="G14" s="15" t="s">
        <v>7</v>
      </c>
      <c r="I14" s="15" t="s">
        <v>7</v>
      </c>
      <c r="K14" s="15" t="s">
        <v>7</v>
      </c>
      <c r="M14" s="15" t="s">
        <v>7</v>
      </c>
      <c r="O14" s="15" t="s">
        <v>7</v>
      </c>
      <c r="Q14" s="15" t="s">
        <v>7</v>
      </c>
      <c r="S14" s="16">
        <f>SUM(D14:D19,F14:F19,H14:H19,H19,J14:J19,L14:L19,N14:N19,P14:P19)</f>
        <v>0</v>
      </c>
    </row>
    <row r="15">
      <c r="E15" s="15" t="s">
        <v>10</v>
      </c>
      <c r="G15" s="15" t="s">
        <v>10</v>
      </c>
      <c r="I15" s="15" t="s">
        <v>10</v>
      </c>
      <c r="K15" s="15" t="s">
        <v>10</v>
      </c>
      <c r="M15" s="15" t="s">
        <v>10</v>
      </c>
      <c r="O15" s="15" t="s">
        <v>10</v>
      </c>
      <c r="Q15" s="15" t="s">
        <v>10</v>
      </c>
    </row>
    <row r="16">
      <c r="E16" s="15" t="s">
        <v>12</v>
      </c>
      <c r="G16" s="15" t="s">
        <v>12</v>
      </c>
      <c r="I16" s="15" t="s">
        <v>12</v>
      </c>
      <c r="K16" s="15" t="s">
        <v>12</v>
      </c>
      <c r="M16" s="15" t="s">
        <v>12</v>
      </c>
      <c r="O16" s="15" t="s">
        <v>12</v>
      </c>
      <c r="Q16" s="15" t="s">
        <v>12</v>
      </c>
    </row>
    <row r="17">
      <c r="E17" s="15" t="s">
        <v>13</v>
      </c>
      <c r="G17" s="15" t="s">
        <v>13</v>
      </c>
      <c r="I17" s="15" t="s">
        <v>13</v>
      </c>
      <c r="K17" s="15" t="s">
        <v>13</v>
      </c>
      <c r="M17" s="15" t="s">
        <v>13</v>
      </c>
      <c r="O17" s="15" t="s">
        <v>13</v>
      </c>
      <c r="Q17" s="15" t="s">
        <v>13</v>
      </c>
    </row>
    <row r="18">
      <c r="E18" s="15" t="s">
        <v>14</v>
      </c>
      <c r="G18" s="15" t="s">
        <v>14</v>
      </c>
      <c r="I18" s="15" t="s">
        <v>14</v>
      </c>
      <c r="K18" s="15" t="s">
        <v>14</v>
      </c>
      <c r="M18" s="15" t="s">
        <v>14</v>
      </c>
      <c r="O18" s="15" t="s">
        <v>14</v>
      </c>
      <c r="Q18" s="15" t="s">
        <v>14</v>
      </c>
    </row>
    <row r="19">
      <c r="E19" s="15" t="s">
        <v>16</v>
      </c>
      <c r="G19" s="15" t="s">
        <v>16</v>
      </c>
      <c r="I19" s="15" t="s">
        <v>16</v>
      </c>
      <c r="K19" s="15" t="s">
        <v>16</v>
      </c>
      <c r="M19" s="15" t="s">
        <v>16</v>
      </c>
      <c r="O19" s="15" t="s">
        <v>16</v>
      </c>
      <c r="Q19" s="15" t="s">
        <v>16</v>
      </c>
    </row>
    <row r="21">
      <c r="A21" s="3" t="s">
        <v>1</v>
      </c>
      <c r="C21" s="4" t="s">
        <v>18</v>
      </c>
      <c r="D21" s="5">
        <v>15.0</v>
      </c>
      <c r="E21" s="5" t="s">
        <v>3</v>
      </c>
      <c r="F21" s="6">
        <v>16.0</v>
      </c>
      <c r="G21" s="6" t="s">
        <v>3</v>
      </c>
      <c r="H21" s="7">
        <v>17.0</v>
      </c>
      <c r="I21" s="7" t="s">
        <v>3</v>
      </c>
      <c r="J21" s="8">
        <v>18.0</v>
      </c>
      <c r="K21" s="8" t="s">
        <v>3</v>
      </c>
      <c r="L21" s="9">
        <v>19.0</v>
      </c>
      <c r="M21" s="9" t="s">
        <v>3</v>
      </c>
      <c r="N21" s="10">
        <v>20.0</v>
      </c>
      <c r="O21" s="10" t="s">
        <v>3</v>
      </c>
      <c r="P21" s="11">
        <v>21.0</v>
      </c>
      <c r="Q21" s="11" t="s">
        <v>3</v>
      </c>
      <c r="S21" s="12" t="s">
        <v>4</v>
      </c>
    </row>
    <row r="22">
      <c r="A22" s="14"/>
      <c r="E22" s="15" t="s">
        <v>7</v>
      </c>
      <c r="G22" s="15" t="s">
        <v>7</v>
      </c>
      <c r="I22" s="15" t="s">
        <v>7</v>
      </c>
      <c r="K22" s="15" t="s">
        <v>7</v>
      </c>
      <c r="M22" s="15" t="s">
        <v>7</v>
      </c>
      <c r="O22" s="15" t="s">
        <v>7</v>
      </c>
      <c r="Q22" s="15" t="s">
        <v>7</v>
      </c>
      <c r="S22" s="1">
        <f>SUM(D22:D27,F22:F27,H22:H27,J22:J27,L22:L27,N22:N27,P22:P27)</f>
        <v>0</v>
      </c>
    </row>
    <row r="23">
      <c r="E23" s="15" t="s">
        <v>10</v>
      </c>
      <c r="G23" s="15" t="s">
        <v>10</v>
      </c>
      <c r="I23" s="15" t="s">
        <v>10</v>
      </c>
      <c r="K23" s="15" t="s">
        <v>10</v>
      </c>
      <c r="M23" s="15" t="s">
        <v>10</v>
      </c>
      <c r="O23" s="15" t="s">
        <v>10</v>
      </c>
      <c r="Q23" s="15" t="s">
        <v>10</v>
      </c>
    </row>
    <row r="24">
      <c r="E24" s="15" t="s">
        <v>12</v>
      </c>
      <c r="G24" s="15" t="s">
        <v>12</v>
      </c>
      <c r="I24" s="15" t="s">
        <v>12</v>
      </c>
      <c r="K24" s="15" t="s">
        <v>12</v>
      </c>
      <c r="M24" s="15" t="s">
        <v>12</v>
      </c>
      <c r="O24" s="15" t="s">
        <v>12</v>
      </c>
      <c r="Q24" s="15" t="s">
        <v>12</v>
      </c>
    </row>
    <row r="25">
      <c r="E25" s="15" t="s">
        <v>13</v>
      </c>
      <c r="G25" s="15" t="s">
        <v>13</v>
      </c>
      <c r="I25" s="15" t="s">
        <v>13</v>
      </c>
      <c r="K25" s="15" t="s">
        <v>13</v>
      </c>
      <c r="M25" s="15" t="s">
        <v>13</v>
      </c>
      <c r="O25" s="15" t="s">
        <v>13</v>
      </c>
      <c r="Q25" s="15" t="s">
        <v>13</v>
      </c>
    </row>
    <row r="26">
      <c r="E26" s="15" t="s">
        <v>14</v>
      </c>
      <c r="G26" s="15" t="s">
        <v>14</v>
      </c>
      <c r="I26" s="15" t="s">
        <v>14</v>
      </c>
      <c r="K26" s="15" t="s">
        <v>14</v>
      </c>
      <c r="M26" s="15" t="s">
        <v>14</v>
      </c>
      <c r="O26" s="15" t="s">
        <v>14</v>
      </c>
      <c r="Q26" s="15" t="s">
        <v>14</v>
      </c>
    </row>
    <row r="27">
      <c r="E27" s="15" t="s">
        <v>16</v>
      </c>
      <c r="G27" s="15" t="s">
        <v>16</v>
      </c>
      <c r="I27" s="15" t="s">
        <v>16</v>
      </c>
      <c r="K27" s="15" t="s">
        <v>16</v>
      </c>
      <c r="M27" s="15" t="s">
        <v>16</v>
      </c>
      <c r="O27" s="15" t="s">
        <v>16</v>
      </c>
      <c r="Q27" s="15" t="s">
        <v>16</v>
      </c>
    </row>
    <row r="29">
      <c r="A29" s="3" t="s">
        <v>1</v>
      </c>
      <c r="C29" s="4" t="s">
        <v>19</v>
      </c>
      <c r="D29" s="5">
        <v>22.0</v>
      </c>
      <c r="E29" s="5" t="s">
        <v>3</v>
      </c>
      <c r="F29" s="6">
        <v>23.0</v>
      </c>
      <c r="G29" s="6" t="s">
        <v>3</v>
      </c>
      <c r="H29" s="7">
        <v>24.0</v>
      </c>
      <c r="I29" s="7" t="s">
        <v>3</v>
      </c>
      <c r="J29" s="8">
        <v>25.0</v>
      </c>
      <c r="K29" s="8" t="s">
        <v>3</v>
      </c>
      <c r="L29" s="9">
        <v>26.0</v>
      </c>
      <c r="M29" s="9" t="s">
        <v>3</v>
      </c>
      <c r="N29" s="10">
        <v>27.0</v>
      </c>
      <c r="O29" s="10" t="s">
        <v>3</v>
      </c>
      <c r="P29" s="11">
        <v>28.0</v>
      </c>
      <c r="Q29" s="11" t="s">
        <v>3</v>
      </c>
      <c r="S29" s="12" t="s">
        <v>4</v>
      </c>
    </row>
    <row r="30">
      <c r="A30" s="14"/>
      <c r="E30" s="15" t="s">
        <v>7</v>
      </c>
      <c r="G30" s="15" t="s">
        <v>7</v>
      </c>
      <c r="I30" s="15" t="s">
        <v>7</v>
      </c>
      <c r="K30" s="15" t="s">
        <v>7</v>
      </c>
      <c r="M30" s="15" t="s">
        <v>7</v>
      </c>
      <c r="O30" s="15" t="s">
        <v>7</v>
      </c>
      <c r="Q30" s="15" t="s">
        <v>7</v>
      </c>
      <c r="S30" s="16">
        <f>SUM(D30:D35,F30:F35,H30:H35,J30:J35,L30:L35,N30:N36,N35,P30:P35)</f>
        <v>0</v>
      </c>
    </row>
    <row r="31"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5" t="s">
        <v>10</v>
      </c>
    </row>
    <row r="32">
      <c r="E32" s="15" t="s">
        <v>12</v>
      </c>
      <c r="G32" s="15" t="s">
        <v>12</v>
      </c>
      <c r="I32" s="15" t="s">
        <v>12</v>
      </c>
      <c r="K32" s="15" t="s">
        <v>12</v>
      </c>
      <c r="M32" s="15" t="s">
        <v>12</v>
      </c>
      <c r="O32" s="15" t="s">
        <v>12</v>
      </c>
      <c r="Q32" s="15" t="s">
        <v>12</v>
      </c>
      <c r="U32" s="22" t="s">
        <v>20</v>
      </c>
      <c r="V32" s="19">
        <f>SUM(V6:V11)</f>
        <v>0</v>
      </c>
    </row>
    <row r="33">
      <c r="E33" s="15" t="s">
        <v>13</v>
      </c>
      <c r="G33" s="15" t="s">
        <v>13</v>
      </c>
      <c r="I33" s="15" t="s">
        <v>13</v>
      </c>
      <c r="K33" s="15" t="s">
        <v>13</v>
      </c>
      <c r="M33" s="15" t="s">
        <v>13</v>
      </c>
      <c r="O33" s="15" t="s">
        <v>13</v>
      </c>
      <c r="Q33" s="15" t="s">
        <v>13</v>
      </c>
    </row>
    <row r="34">
      <c r="E34" s="15" t="s">
        <v>14</v>
      </c>
      <c r="G34" s="15" t="s">
        <v>14</v>
      </c>
      <c r="I34" s="15" t="s">
        <v>14</v>
      </c>
      <c r="K34" s="15" t="s">
        <v>14</v>
      </c>
      <c r="M34" s="15" t="s">
        <v>14</v>
      </c>
      <c r="O34" s="15" t="s">
        <v>14</v>
      </c>
      <c r="Q34" s="15" t="s">
        <v>14</v>
      </c>
    </row>
    <row r="35">
      <c r="E35" s="15" t="s">
        <v>16</v>
      </c>
      <c r="G35" s="15" t="s">
        <v>16</v>
      </c>
      <c r="I35" s="15" t="s">
        <v>16</v>
      </c>
      <c r="K35" s="15" t="s">
        <v>16</v>
      </c>
      <c r="M35" s="15" t="s">
        <v>16</v>
      </c>
      <c r="O35" s="15" t="s">
        <v>16</v>
      </c>
      <c r="Q35" s="15" t="s">
        <v>16</v>
      </c>
    </row>
    <row r="37">
      <c r="A37" s="3" t="s">
        <v>1</v>
      </c>
      <c r="C37" s="4" t="s">
        <v>19</v>
      </c>
      <c r="D37" s="5">
        <v>29.0</v>
      </c>
      <c r="E37" s="5" t="s">
        <v>3</v>
      </c>
      <c r="F37" s="6">
        <v>30.0</v>
      </c>
      <c r="G37" s="6" t="s">
        <v>3</v>
      </c>
      <c r="H37" s="7">
        <v>31.0</v>
      </c>
      <c r="I37" s="7" t="s">
        <v>3</v>
      </c>
      <c r="J37" s="23"/>
      <c r="K37" s="24" t="s">
        <v>4</v>
      </c>
    </row>
    <row r="38">
      <c r="A38" s="25"/>
      <c r="E38" s="15" t="s">
        <v>7</v>
      </c>
      <c r="G38" s="15" t="s">
        <v>7</v>
      </c>
      <c r="I38" s="15" t="s">
        <v>7</v>
      </c>
      <c r="K38" s="16">
        <f>SUM(D38:D43,F38:F43,H38:H43)</f>
        <v>0</v>
      </c>
    </row>
    <row r="39">
      <c r="E39" s="15" t="s">
        <v>10</v>
      </c>
      <c r="G39" s="15" t="s">
        <v>10</v>
      </c>
      <c r="I39" s="15" t="s">
        <v>10</v>
      </c>
    </row>
    <row r="40">
      <c r="E40" s="15" t="s">
        <v>12</v>
      </c>
      <c r="G40" s="15" t="s">
        <v>12</v>
      </c>
      <c r="I40" s="15" t="s">
        <v>12</v>
      </c>
    </row>
    <row r="41">
      <c r="E41" s="15" t="s">
        <v>13</v>
      </c>
      <c r="G41" s="15" t="s">
        <v>13</v>
      </c>
      <c r="I41" s="15" t="s">
        <v>13</v>
      </c>
    </row>
    <row r="42">
      <c r="E42" s="15" t="s">
        <v>14</v>
      </c>
      <c r="G42" s="15" t="s">
        <v>14</v>
      </c>
      <c r="I42" s="15" t="s">
        <v>14</v>
      </c>
    </row>
    <row r="43">
      <c r="A43" s="26" t="s">
        <v>11</v>
      </c>
      <c r="E43" s="15" t="s">
        <v>16</v>
      </c>
      <c r="G43" s="15" t="s">
        <v>16</v>
      </c>
      <c r="I43" s="15" t="s">
        <v>16</v>
      </c>
    </row>
    <row r="44">
      <c r="A44" s="14"/>
    </row>
  </sheetData>
  <dataValidations>
    <dataValidation type="list" allowBlank="1" showErrorMessage="1" sqref="E6:E11 G6:G11 I6:I11 K6:K11 M6:M11 O6:O11 Q6:Q11 E14:E19 G14:G19 I14:I19 K14:K19 M14:M19 O14:O19 Q14:Q19 E22:E27 G22:G27 I22:I27 K22:K27 M22:M27 O22:O27 Q22:Q27 E30:E35 G30:G35 I30:I35 K30:K35 M30:M35 O30:O35 Q30:Q35 E38:E43 G38:G43 I38:I43">
      <formula1>"Food &amp; Drinks,Transportation,School,Trips,Shopping,Others"</formula1>
    </dataValidation>
  </dataValidations>
  <drawing r:id="rId1"/>
</worksheet>
</file>